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epilogo" sheetId="1" state="visible" r:id="rId3"/>
    <sheet name="ADV Campagne" sheetId="2" state="visible" r:id="rId4"/>
    <sheet name="ADV Inserzioni" sheetId="3" state="visible" r:id="rId5"/>
    <sheet name="ADV Mese e piattaforma" sheetId="4" state="visible" r:id="rId6"/>
    <sheet name="ADV Giornaliero" sheetId="5" state="visible" r:id="rId7"/>
    <sheet name="FB Giornaliero" sheetId="6" state="visible" r:id="rId8"/>
    <sheet name="FB Mensile" sheetId="7" state="visible" r:id="rId9"/>
    <sheet name="FB Post" sheetId="8" state="visible" r:id="rId10"/>
    <sheet name="IG Giornaliero" sheetId="9" state="visible" r:id="rId11"/>
    <sheet name="IG Mensile" sheetId="10" state="visible" r:id="rId12"/>
    <sheet name="IG Contenuti" sheetId="11" state="visible" r:id="rId13"/>
  </sheets>
  <definedNames>
    <definedName function="false" hidden="true" localSheetId="1" name="_xlnm._FilterDatabase" vbProcedure="false">'ADV Campagne'!$A$4:$N$6</definedName>
    <definedName function="false" hidden="true" localSheetId="4" name="_xlnm._FilterDatabase" vbProcedure="false">'ADV Giornaliero'!$A$4:$K$173</definedName>
    <definedName function="false" hidden="true" localSheetId="2" name="_xlnm._FilterDatabase" vbProcedure="false">'ADV Inserzioni'!$A$4:$J$8</definedName>
    <definedName function="false" hidden="true" localSheetId="3" name="_xlnm._FilterDatabase" vbProcedure="false">'ADV Mese e piattaforma'!$A$4:$H$24</definedName>
    <definedName function="false" hidden="true" localSheetId="5" name="_xlnm._FilterDatabase" vbProcedure="false">'FB Giornaliero'!$A$4:$H$278</definedName>
    <definedName function="false" hidden="true" localSheetId="6" name="_xlnm._FilterDatabase" vbProcedure="false">'FB Mensile'!$A$4:$H$14</definedName>
    <definedName function="false" hidden="true" localSheetId="7" name="_xlnm._FilterDatabase" vbProcedure="false">'FB Post'!$A$4:$J$33</definedName>
    <definedName function="false" hidden="true" localSheetId="10" name="_xlnm._FilterDatabase" vbProcedure="false">'IG Contenuti'!$A$4:$K$31</definedName>
    <definedName function="false" hidden="true" localSheetId="8" name="_xlnm._FilterDatabase" vbProcedure="false">'IG Giornaliero'!$A$4:$J$278</definedName>
    <definedName function="false" hidden="true" localSheetId="9" name="_xlnm._FilterDatabase" vbProcedure="false">'IG Mensile'!$A$4:$G$14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<sst xmlns="http://schemas.openxmlformats.org/spreadsheetml/2006/main" count="1914" uniqueCount="508">
  <si>
    <t xml:space="preserve">Gen&amp;Sys · Report social e ADV</t>
  </si>
  <si>
    <t xml:space="preserve">Periodo: 1 gennaio – 1 ottobre 2026 · Fonte: Windsor.ai (Facebook Organic, Instagram, Meta Ads) · Estratto il 16 ottobre 2026</t>
  </si>
  <si>
    <t xml:space="preserve">Facebook (pagina)</t>
  </si>
  <si>
    <t xml:space="preserve">Impression totali</t>
  </si>
  <si>
    <t xml:space="preserve">di cui sponsorizzate</t>
  </si>
  <si>
    <t xml:space="preserve">Quota sponsorizzata</t>
  </si>
  <si>
    <t xml:space="preserve">Interazioni con i post</t>
  </si>
  <si>
    <t xml:space="preserve">Visite alla pagina</t>
  </si>
  <si>
    <t xml:space="preserve">Nuovi follower nel periodo</t>
  </si>
  <si>
    <t xml:space="preserve">Follower al 1 ottobre</t>
  </si>
  <si>
    <t xml:space="preserve">Post pubblicati (esclusi cambi foto profilo/copertina)</t>
  </si>
  <si>
    <t xml:space="preserve">Instagram (@genesys_srl)</t>
  </si>
  <si>
    <t xml:space="preserve">Visualizzazioni</t>
  </si>
  <si>
    <t xml:space="preserve">Interazioni totali</t>
  </si>
  <si>
    <t xml:space="preserve">Follower (dato al 16 ottobre)</t>
  </si>
  <si>
    <t xml:space="preserve">Contenuti pubblicati</t>
  </si>
  <si>
    <t xml:space="preserve">Meta Ads (account Gen&amp;Sys)</t>
  </si>
  <si>
    <t xml:space="preserve">Spesa totale (€)</t>
  </si>
  <si>
    <t xml:space="preserve">Impression a pagamento</t>
  </si>
  <si>
    <t xml:space="preserve">Clic sul link</t>
  </si>
  <si>
    <t xml:space="preserve">Costo per clic sul link (€)</t>
  </si>
  <si>
    <t xml:space="preserve">CPM (€)</t>
  </si>
  <si>
    <t xml:space="preserve">Quota impression su Audience Network</t>
  </si>
  <si>
    <t xml:space="preserve">Note</t>
  </si>
  <si>
    <t xml:space="preserve">• La campagna "[INTERAZIONI] Giugno 2026" risulta ancora attiva: ha speso anche dopo il 1 ottobre (dati fino al 16 ottobre, foglio ADV Campagne).</t>
  </si>
  <si>
    <t xml:space="preserve">• Quasi tutte le impression della campagna Interazioni sono su Audience Network (app e siti esterni a Meta), con pochissimi clic.</t>
  </si>
  <si>
    <t xml:space="preserve">• La campagna "[TRAFFICO] Reel IG" (11–30 settembre) ha un costo per clic sul link molto più basso.</t>
  </si>
  <si>
    <t xml:space="preserve">• Follower Instagram: Meta fornisce solo il totale del giorno di estrazione (valore in blu, inserito a mano).</t>
  </si>
  <si>
    <t xml:space="preserve">• Copertura Instagram mensile = somma della copertura giornaliera, non persone uniche.</t>
  </si>
  <si>
    <t xml:space="preserve">Meta Ads · campagne Gen&amp;Sys (1 gen – 1 ott 2026)</t>
  </si>
  <si>
    <t xml:space="preserve">Account pubblicitario Gen&amp;Sys (ID 1501696344256381), valori in EUR. Fonte: Windsor.ai, connettore Facebook Ads.</t>
  </si>
  <si>
    <t xml:space="preserve">Campagna</t>
  </si>
  <si>
    <t xml:space="preserve">Obiettivo</t>
  </si>
  <si>
    <t xml:space="preserve">Spesa (€)</t>
  </si>
  <si>
    <t xml:space="preserve">Impression</t>
  </si>
  <si>
    <t xml:space="preserve">Copertura</t>
  </si>
  <si>
    <t xml:space="preserve">Frequenza</t>
  </si>
  <si>
    <t xml:space="preserve">Clic (tutti)</t>
  </si>
  <si>
    <t xml:space="preserve">CTR link</t>
  </si>
  <si>
    <t xml:space="preserve">Costo per clic link (€)</t>
  </si>
  <si>
    <t xml:space="preserve">Riproduzioni video 3s</t>
  </si>
  <si>
    <t xml:space="preserve">Interazioni con il post</t>
  </si>
  <si>
    <t xml:space="preserve">Mi piace alla pagina</t>
  </si>
  <si>
    <t xml:space="preserve">[INTERAZIONI] Giugno 2026</t>
  </si>
  <si>
    <t xml:space="preserve">OUTCOME_ENGAGEMENT</t>
  </si>
  <si>
    <t xml:space="preserve">[TRAFFICO] Reel IG</t>
  </si>
  <si>
    <t xml:space="preserve">OUTCOME_TRAFFIC</t>
  </si>
  <si>
    <t xml:space="preserve">Totale</t>
  </si>
  <si>
    <t xml:space="preserve">n.d.</t>
  </si>
  <si>
    <t xml:space="preserve">La copertura non si somma tra campagne (le stesse persone possono averle viste entrambe).</t>
  </si>
  <si>
    <t xml:space="preserve">Campagna ancora attiva dopo il periodo del report</t>
  </si>
  <si>
    <t xml:space="preserve">Data</t>
  </si>
  <si>
    <t xml:space="preserve">2026-10-03</t>
  </si>
  <si>
    <t xml:space="preserve">2026-10-04</t>
  </si>
  <si>
    <t xml:space="preserve">2026-10-05</t>
  </si>
  <si>
    <t xml:space="preserve">2026-10-06</t>
  </si>
  <si>
    <t xml:space="preserve">2026-10-07</t>
  </si>
  <si>
    <t xml:space="preserve">2026-10-08</t>
  </si>
  <si>
    <t xml:space="preserve">2026-10-09</t>
  </si>
  <si>
    <t xml:space="preserve">2026-10-10</t>
  </si>
  <si>
    <t xml:space="preserve">2026-10-11</t>
  </si>
  <si>
    <t xml:space="preserve">2026-10-12</t>
  </si>
  <si>
    <t xml:space="preserve">2026-10-13</t>
  </si>
  <si>
    <t xml:space="preserve">2026-10-14</t>
  </si>
  <si>
    <t xml:space="preserve">2026-10-15</t>
  </si>
  <si>
    <t xml:space="preserve">2026-10-16</t>
  </si>
  <si>
    <t xml:space="preserve">Totale 3–16 ottobre</t>
  </si>
  <si>
    <t xml:space="preserve">Meta Ads · risultati per inserzione</t>
  </si>
  <si>
    <t xml:space="preserve">Somma dei dati giornalieri per inserzione, tutte le piattaforme.</t>
  </si>
  <si>
    <t xml:space="preserve">Gruppo di inserzioni</t>
  </si>
  <si>
    <t xml:space="preserve">Inserzione</t>
  </si>
  <si>
    <t xml:space="preserve">Video visti al 100%</t>
  </si>
  <si>
    <t xml:space="preserve">Vigonovo 30km, uomini 30-60</t>
  </si>
  <si>
    <t xml:space="preserve">Reel brand 22.07</t>
  </si>
  <si>
    <t xml:space="preserve">Reel conto termico 27.05</t>
  </si>
  <si>
    <t xml:space="preserve">Reel riscaldamento 25.06</t>
  </si>
  <si>
    <t xml:space="preserve">Vigonovo, 30km, Uomo 30-60</t>
  </si>
  <si>
    <t xml:space="preserve">Reel 2.09</t>
  </si>
  <si>
    <t xml:space="preserve">Meta Ads · per mese e piattaforma</t>
  </si>
  <si>
    <t xml:space="preserve">Dove sono state mostrate le inserzioni, mese per mese.</t>
  </si>
  <si>
    <t xml:space="preserve">Mese</t>
  </si>
  <si>
    <t xml:space="preserve">Piattaforma</t>
  </si>
  <si>
    <t xml:space="preserve">Mag 2026</t>
  </si>
  <si>
    <t xml:space="preserve">Audience Network</t>
  </si>
  <si>
    <t xml:space="preserve">Facebook</t>
  </si>
  <si>
    <t xml:space="preserve">Instagram</t>
  </si>
  <si>
    <t xml:space="preserve">Threads</t>
  </si>
  <si>
    <t xml:space="preserve">Giu 2026</t>
  </si>
  <si>
    <t xml:space="preserve">Lug 2026</t>
  </si>
  <si>
    <t xml:space="preserve">Ago 2026</t>
  </si>
  <si>
    <t xml:space="preserve">Set 2026</t>
  </si>
  <si>
    <t xml:space="preserve">Ott 2026 (solo 1 ott)</t>
  </si>
  <si>
    <t xml:space="preserve">Totale per piattaforma</t>
  </si>
  <si>
    <t xml:space="preserve">Quota impression</t>
  </si>
  <si>
    <t xml:space="preserve">Meta Ads · dati giornalieri per inserzione e piattaforma</t>
  </si>
  <si>
    <t xml:space="preserve">Righe presenti solo nei giorni con consegna.</t>
  </si>
  <si>
    <t xml:space="preserve">Stato campagna (oggi)</t>
  </si>
  <si>
    <t xml:space="preserve">2026-05-28</t>
  </si>
  <si>
    <t xml:space="preserve">ACTIVE</t>
  </si>
  <si>
    <t xml:space="preserve">2026-05-29</t>
  </si>
  <si>
    <t xml:space="preserve">2026-05-30</t>
  </si>
  <si>
    <t xml:space="preserve">2026-05-31</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</si>
  <si>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</si>
  <si>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</si>
  <si>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</si>
  <si>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</si>
  <si>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</si>
  <si>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</si>
  <si>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</si>
  <si>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</si>
  <si>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</si>
  <si>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</si>
  <si>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</si>
  <si>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2026-06-12</t>
  </si>
  <si>
    <t xml:space="preserve">2026-06-13</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</si>
  <si>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</si>
  <si>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</si>
  <si>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</si>
  <si>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</si>
  <si>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</si>
  <si>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</si>
  <si>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</si>
  <si>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</si>
  <si>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2026-06-22</t>
  </si>
  <si>
    <t xml:space="preserve">2026-06-23</t>
  </si>
  <si>
    <t xml:space="preserve">2026-06-24</t>
  </si>
  <si>
    <t xml:space="preserve">2026-06-25</t>
  </si>
  <si>
    <t xml:space="preserve">2026-06-26</t>
  </si>
  <si>
    <t xml:space="preserve">2026-06-27</t>
  </si>
  <si>
    <t xml:space="preserve">2026-06-28</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</si>
  <si>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</si>
  <si>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</si>
  <si>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</si>
  <si>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</si>
  <si>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</si>
  <si>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</si>
  <si>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</si>
  <si>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</si>
  <si>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</si>
  <si>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</si>
  <si>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</si>
  <si>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</si>
  <si>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</si>
  <si>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</si>
  <si>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</si>
  <si>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</si>
  <si>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</si>
  <si>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</si>
  <si>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</si>
  <si>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</si>
  <si>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</si>
  <si>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</si>
  <si>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</si>
  <si>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</si>
  <si>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</si>
  <si>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</si>
  <si>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</si>
  <si>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</si>
  <si>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</si>
  <si>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</si>
  <si>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</si>
  <si>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</si>
  <si>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</si>
  <si>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</si>
  <si>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</si>
  <si>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</si>
  <si>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</si>
  <si>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</si>
  <si>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</si>
  <si>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</si>
  <si>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</si>
  <si>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</si>
  <si>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</si>
  <si>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</si>
  <si>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</si>
  <si>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2026-09-16</t>
  </si>
  <si>
    <t xml:space="preserve">2026-09-17</t>
  </si>
  <si>
    <t xml:space="preserve">2026-09-18</t>
  </si>
  <si>
    <t xml:space="preserve">2026-09-19</t>
  </si>
  <si>
    <t xml:space="preserve">2026-09-20</t>
  </si>
  <si>
    <t xml:space="preserve">2026-09-21</t>
  </si>
  <si>
    <t xml:space="preserve">2026-09-22</t>
  </si>
  <si>
    <t xml:space="preserve">2026-09-23</t>
  </si>
  <si>
    <t xml:space="preserve">2026-09-24</t>
  </si>
  <si>
    <t xml:space="preserve">2026-09-25</t>
  </si>
  <si>
    <t xml:space="preserve">2026-09-26</t>
  </si>
  <si>
    <t xml:space="preserve">2026-09-27</t>
  </si>
  <si>
    <t xml:space="preserve">2026-09-28</t>
  </si>
  <si>
    <t xml:space="preserve">2026-09-29</t>
  </si>
  <si>
    <t xml:space="preserve">2026-09-30</t>
  </si>
  <si>
    <t xml:space="preserve">2026-10-01</t>
  </si>
  <si>
    <t xml:space="preserve">Pagina Facebook Gen&amp;Sys Srl · dati giornalieri</t>
  </si>
  <si>
    <t xml:space="preserve">Fonte: Windsor.ai, connettore Facebook Organic. Le impression sponsorizzate sono quelle generate dalle inserzioni.</t>
  </si>
  <si>
    <t xml:space="preserve">Impression organiche</t>
  </si>
  <si>
    <t xml:space="preserve">Impression sponsorizzate</t>
  </si>
  <si>
    <t xml:space="preserve">Nuovi follower</t>
  </si>
  <si>
    <t xml:space="preserve">Follower totali</t>
  </si>
  <si>
    <t xml:space="preserve">2026-01-01</t>
  </si>
  <si>
    <t xml:space="preserve">2026-01-02</t>
  </si>
  <si>
    <t xml:space="preserve">2026-01-03</t>
  </si>
  <si>
    <t xml:space="preserve">2026-01-04</t>
  </si>
  <si>
    <t xml:space="preserve">2026-01-05</t>
  </si>
  <si>
    <t xml:space="preserve">2026-01-06</t>
  </si>
  <si>
    <t xml:space="preserve">2026-01-07</t>
  </si>
  <si>
    <t xml:space="preserve">2026-01-08</t>
  </si>
  <si>
    <t xml:space="preserve">2026-01-09</t>
  </si>
  <si>
    <t xml:space="preserve">2026-01-10</t>
  </si>
  <si>
    <t xml:space="preserve">2026-01-11</t>
  </si>
  <si>
    <t xml:space="preserve">2026-01-12</t>
  </si>
  <si>
    <t xml:space="preserve">2026-01-13</t>
  </si>
  <si>
    <t xml:space="preserve">2026-01-14</t>
  </si>
  <si>
    <t xml:space="preserve">2026-01-15</t>
  </si>
  <si>
    <t xml:space="preserve">2026-01-16</t>
  </si>
  <si>
    <t xml:space="preserve">2026-01-17</t>
  </si>
  <si>
    <t xml:space="preserve">2026-01-18</t>
  </si>
  <si>
    <t xml:space="preserve">2026-01-19</t>
  </si>
  <si>
    <t xml:space="preserve">2026-01-20</t>
  </si>
  <si>
    <t xml:space="preserve">2026-01-21</t>
  </si>
  <si>
    <t xml:space="preserve">2026-01-22</t>
  </si>
  <si>
    <t xml:space="preserve">2026-01-23</t>
  </si>
  <si>
    <t xml:space="preserve">2026-01-24</t>
  </si>
  <si>
    <t xml:space="preserve">2026-01-25</t>
  </si>
  <si>
    <t xml:space="preserve">2026-01-26</t>
  </si>
  <si>
    <t xml:space="preserve">2026-01-27</t>
  </si>
  <si>
    <t xml:space="preserve">2026-01-28</t>
  </si>
  <si>
    <t xml:space="preserve">2026-01-29</t>
  </si>
  <si>
    <t xml:space="preserve">2026-01-30</t>
  </si>
  <si>
    <t xml:space="preserve">2026-01-31</t>
  </si>
  <si>
    <t xml:space="preserve">2026-02-01</t>
  </si>
  <si>
    <t xml:space="preserve">2026-02-02</t>
  </si>
  <si>
    <t xml:space="preserve">2026-02-03</t>
  </si>
  <si>
    <t xml:space="preserve">2026-02-04</t>
  </si>
  <si>
    <t xml:space="preserve">2026-02-05</t>
  </si>
  <si>
    <t xml:space="preserve">2026-02-06</t>
  </si>
  <si>
    <t xml:space="preserve">2026-02-07</t>
  </si>
  <si>
    <t xml:space="preserve">2026-02-08</t>
  </si>
  <si>
    <t xml:space="preserve">2026-02-09</t>
  </si>
  <si>
    <t xml:space="preserve">2026-02-10</t>
  </si>
  <si>
    <t xml:space="preserve">2026-02-11</t>
  </si>
  <si>
    <t xml:space="preserve">2026-02-12</t>
  </si>
  <si>
    <t xml:space="preserve">2026-02-13</t>
  </si>
  <si>
    <t xml:space="preserve">2026-02-14</t>
  </si>
  <si>
    <t xml:space="preserve">2026-02-15</t>
  </si>
  <si>
    <t xml:space="preserve">2026-02-16</t>
  </si>
  <si>
    <t xml:space="preserve">2026-02-17</t>
  </si>
  <si>
    <t xml:space="preserve">2026-02-18</t>
  </si>
  <si>
    <t xml:space="preserve">2026-02-19</t>
  </si>
  <si>
    <t xml:space="preserve">2026-02-20</t>
  </si>
  <si>
    <t xml:space="preserve">2026-02-21</t>
  </si>
  <si>
    <t xml:space="preserve">2026-02-22</t>
  </si>
  <si>
    <t xml:space="preserve">2026-02-23</t>
  </si>
  <si>
    <t xml:space="preserve">2026-02-24</t>
  </si>
  <si>
    <t xml:space="preserve">2026-02-25</t>
  </si>
  <si>
    <t xml:space="preserve">2026-02-26</t>
  </si>
  <si>
    <t xml:space="preserve">2026-02-27</t>
  </si>
  <si>
    <t xml:space="preserve">2026-02-28</t>
  </si>
  <si>
    <t xml:space="preserve">2026-03-01</t>
  </si>
  <si>
    <t xml:space="preserve">2026-03-02</t>
  </si>
  <si>
    <t xml:space="preserve">2026-03-03</t>
  </si>
  <si>
    <t xml:space="preserve">2026-03-04</t>
  </si>
  <si>
    <t xml:space="preserve">2026-03-05</t>
  </si>
  <si>
    <t xml:space="preserve">2026-03-06</t>
  </si>
  <si>
    <t xml:space="preserve">2026-03-07</t>
  </si>
  <si>
    <t xml:space="preserve">2026-03-08</t>
  </si>
  <si>
    <t xml:space="preserve">2026-03-09</t>
  </si>
  <si>
    <t xml:space="preserve">2026-03-10</t>
  </si>
  <si>
    <t xml:space="preserve">2026-03-11</t>
  </si>
  <si>
    <t xml:space="preserve">2026-03-12</t>
  </si>
  <si>
    <t xml:space="preserve">2026-03-13</t>
  </si>
  <si>
    <t xml:space="preserve">2026-03-14</t>
  </si>
  <si>
    <t xml:space="preserve">2026-03-15</t>
  </si>
  <si>
    <t xml:space="preserve">2026-03-16</t>
  </si>
  <si>
    <t xml:space="preserve">2026-03-17</t>
  </si>
  <si>
    <t xml:space="preserve">2026-03-18</t>
  </si>
  <si>
    <t xml:space="preserve">2026-03-19</t>
  </si>
  <si>
    <t xml:space="preserve">2026-03-20</t>
  </si>
  <si>
    <t xml:space="preserve">2026-03-21</t>
  </si>
  <si>
    <t xml:space="preserve">2026-03-22</t>
  </si>
  <si>
    <t xml:space="preserve">2026-03-23</t>
  </si>
  <si>
    <t xml:space="preserve">2026-03-24</t>
  </si>
  <si>
    <t xml:space="preserve">2026-03-25</t>
  </si>
  <si>
    <t xml:space="preserve">2026-03-26</t>
  </si>
  <si>
    <t xml:space="preserve">2026-03-27</t>
  </si>
  <si>
    <t xml:space="preserve">2026-03-28</t>
  </si>
  <si>
    <t xml:space="preserve">2026-03-29</t>
  </si>
  <si>
    <t xml:space="preserve">2026-03-30</t>
  </si>
  <si>
    <t xml:space="preserve">2026-03-31</t>
  </si>
  <si>
    <t xml:space="preserve">2026-04-01</t>
  </si>
  <si>
    <t xml:space="preserve">2026-04-02</t>
  </si>
  <si>
    <t xml:space="preserve">2026-04-03</t>
  </si>
  <si>
    <t xml:space="preserve">2026-04-04</t>
  </si>
  <si>
    <t xml:space="preserve">2026-04-05</t>
  </si>
  <si>
    <t xml:space="preserve">2026-04-06</t>
  </si>
  <si>
    <t xml:space="preserve">2026-04-07</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</si>
  <si>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</si>
  <si>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</si>
  <si>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</si>
  <si>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</si>
  <si>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</si>
  <si>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</si>
  <si>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</si>
  <si>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</si>
  <si>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</si>
  <si>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</si>
  <si>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</si>
  <si>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2026-04-19</t>
  </si>
  <si>
    <t xml:space="preserve">2026-04-20</t>
  </si>
  <si>
    <t xml:space="preserve">2026-04-21</t>
  </si>
  <si>
    <t xml:space="preserve">2026-04-22</t>
  </si>
  <si>
    <t xml:space="preserve">2026-04-23</t>
  </si>
  <si>
    <t xml:space="preserve">2026-04-24</t>
  </si>
  <si>
    <t xml:space="preserve">2026-04-25</t>
  </si>
  <si>
    <t xml:space="preserve">2026-04-26</t>
  </si>
  <si>
    <t xml:space="preserve">2026-04-27</t>
  </si>
  <si>
    <t xml:space="preserve">2026-04-28</t>
  </si>
  <si>
    <t xml:space="preserve">2026-04-29</t>
  </si>
  <si>
    <t xml:space="preserve">2026-04-30</t>
  </si>
  <si>
    <t xml:space="preserve">2026-05-01</t>
  </si>
  <si>
    <t xml:space="preserve">2026-05-02</t>
  </si>
  <si>
    <t xml:space="preserve">2026-05-03</t>
  </si>
  <si>
    <t xml:space="preserve">2026-05-04</t>
  </si>
  <si>
    <t xml:space="preserve">2026-05-05</t>
  </si>
  <si>
    <t xml:space="preserve">2026-05-06</t>
  </si>
  <si>
    <t xml:space="preserve">2026-05-07</t>
  </si>
  <si>
    <t xml:space="preserve">2026-05-08</t>
  </si>
  <si>
    <t xml:space="preserve">2026-05-09</t>
  </si>
  <si>
    <t xml:space="preserve">2026-05-10</t>
  </si>
  <si>
    <t xml:space="preserve">2026-05-11</t>
  </si>
  <si>
    <t xml:space="preserve">2026-05-12</t>
  </si>
  <si>
    <t xml:space="preserve">2026-05-13</t>
  </si>
  <si>
    <t xml:space="preserve">2026-05-14</t>
  </si>
  <si>
    <t xml:space="preserve">2026-05-15</t>
  </si>
  <si>
    <t xml:space="preserve">2026-05-16</t>
  </si>
  <si>
    <t xml:space="preserve">2026-05-17</t>
  </si>
  <si>
    <t xml:space="preserve">2026-05-18</t>
  </si>
  <si>
    <t xml:space="preserve">2026-05-19</t>
  </si>
  <si>
    <t xml:space="preserve">2026-05-20</t>
  </si>
  <si>
    <t xml:space="preserve">2026-05-21</t>
  </si>
  <si>
    <t xml:space="preserve">2026-05-22</t>
  </si>
  <si>
    <t xml:space="preserve">2026-05-23</t>
  </si>
  <si>
    <t xml:space="preserve">2026-05-24</t>
  </si>
  <si>
    <t xml:space="preserve">2026-05-25</t>
  </si>
  <si>
    <t xml:space="preserve">2026-05-26</t>
  </si>
  <si>
    <t xml:space="preserve">2026-05-27</t>
  </si>
  <si>
    <t xml:space="preserve">2026-06-29</t>
  </si>
  <si>
    <t xml:space="preserve">2026-06-30</t>
  </si>
  <si>
    <t xml:space="preserve">2026-07-01</t>
  </si>
  <si>
    <t xml:space="preserve">2026-07-02</t>
  </si>
  <si>
    <t xml:space="preserve">2026-07-03</t>
  </si>
  <si>
    <t xml:space="preserve">2026-07-04</t>
  </si>
  <si>
    <t xml:space="preserve">2026-07-05</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</si>
  <si>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</si>
  <si>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</si>
  <si>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</si>
  <si>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</si>
  <si>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</si>
  <si>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</si>
  <si>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</si>
  <si>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</si>
  <si>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</si>
  <si>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</si>
  <si>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</si>
  <si>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</si>
  <si>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</si>
  <si>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</si>
  <si>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</si>
  <si>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</si>
  <si>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</si>
  <si>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</si>
  <si>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</si>
  <si>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</si>
  <si>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</si>
  <si>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2026-08-22</t>
  </si>
  <si>
    <t xml:space="preserve">2026-08-23</t>
  </si>
  <si>
    <t xml:space="preserve">2026-08-24</t>
  </si>
  <si>
    <t xml:space="preserve">2026-08-25</t>
  </si>
  <si>
    <t xml:space="preserve">2026-08-26</t>
  </si>
  <si>
    <t xml:space="preserve">2026-08-27</t>
  </si>
  <si>
    <t xml:space="preserve">Pagina Facebook · totali mensili</t>
  </si>
  <si>
    <t xml:space="preserve">Calcolati dal foglio FB Giornaliero. Ottobre comprende solo il 1° ottobre.</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</si>
  <si>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</si>
  <si>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</si>
  <si>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</si>
  <si>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</si>
  <si>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</si>
  <si>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</si>
  <si>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</si>
  <si>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</si>
  <si>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</si>
  <si>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</si>
  <si>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Pagina Facebook · post del periodo</t>
  </si>
  <si>
    <t xml:space="preserve">Le impression dei post includono quelle sponsorizzate quando il post è stato promosso.</t>
  </si>
  <si>
    <t xml:space="preserve">Formato</t>
  </si>
  <si>
    <t xml:space="preserve">Testo</t>
  </si>
  <si>
    <t xml:space="preserve">Interazioni</t>
  </si>
  <si>
    <t xml:space="preserve">Reazioni</t>
  </si>
  <si>
    <t xml:space="preserve">Commenti</t>
  </si>
  <si>
    <t xml:space="preserve">Condivisioni</t>
  </si>
  <si>
    <t xml:space="preserve">Clic</t>
  </si>
  <si>
    <t xml:space="preserve">Link</t>
  </si>
  <si>
    <t xml:space="preserve">Foto profilo</t>
  </si>
  <si>
    <t xml:space="preserve">https://www.facebook.com/photo.php?fbid=122113496637206039&amp;set=a.122104629159206039&amp;type=3</t>
  </si>
  <si>
    <t xml:space="preserve">Foto copertina</t>
  </si>
  <si>
    <t xml:space="preserve">https://www.facebook.com/122124922155206039/posts/2006967940207117?substory_index=2006967940207117</t>
  </si>
  <si>
    <t xml:space="preserve">Carosello</t>
  </si>
  <si>
    <t xml:space="preserve">Gen&amp;Sys è un’azienda a conduzione familiare che da oltre 15 anni lavora a fianco degli installatori.
Non siamo un semplice punto di fornitura, ma un partner tecnico che affianca ogni progetto, dalla scelta dell’impianto alla gestione delle pratiche.
049 9802495 | www.genesyssrl.com | info@genesyssrl.com
📍Via Sagredo 21, Vigonovo (VE)
#genesys #genesyssrl #termoidraulica #riscaldamento #climatizzazione #pompedicalore #daikin #lgelectronics #chaffoteaux #bwt #aristonthermogroup</t>
  </si>
  <si>
    <t xml:space="preserve">https://www.facebook.com/122124922155206039/posts/122113670541206039</t>
  </si>
  <si>
    <t xml:space="preserve">Foto</t>
  </si>
  <si>
    <t xml:space="preserve">📍La nostra sede - Vigonovo (VE)
Un punto di riferimento per gli installatori del territorio.
Qui lavoriamo ogni giorno per affiancare chi opera nel settore impiantistico, con supporto tecnico, consulenza e gestione delle pratiche.
049 9802495 | info@genesyssrl.com
#genesys #genesyssrl #termoidraulica #riscaldamento #climatizzazione #pompedicalore #daikin #lgelectronics #chaffoteaux #bwt #aristonthermogroup</t>
  </si>
  <si>
    <t xml:space="preserve">https://www.facebook.com/122124922155206039/posts/122114389893206039</t>
  </si>
  <si>
    <t xml:space="preserve">Ogni impianto ha esigenze diverse.
Per questo noi di Gen&amp;Sys proponiamo una gamma completa di soluzioni impiantistiche, selezionate per adattarsi a contesti, configurazioni e necessità differenti.
Non un unico prodotto, ma più possibilità tra cui scegliere, con il supporto tecnico giusto per individuare quella corretta.
049 9802495 | www.genesyssrl.com | info@genesyssrl.com
📍Via Sagredo 21, Vigonovo (VE)
#genesys #genesyssrl #termoidraulica #riscaldamento #climatizzazione #pompedicalore #daikin #lgelectronics #chaffoteaux  #bwt #aristonthermogroup</t>
  </si>
  <si>
    <t xml:space="preserve">https://www.facebook.com/122124922155206039/posts/122114727819206039</t>
  </si>
  <si>
    <t xml:space="preserve">La differenza non è solo in cosa fornisci, ma nel supporto che dai.
Gen&amp;Sys affianca gli installatori con un servizio completo, pensato per semplificare il lavoro e ridurre le complessità operative.
Dalla consulenza tecnica alla gestione delle pratiche, siamo presenti in ogni fase.
049 9802495 | www.genesyssrl.com | info@genesyssrl.com
📍Via Sagredo 21, Vigonovo (VE)
#genesys #genesyssrl #termoidraulica #riscaldamento #climatizzazione #pompedicalore #daikin #lgelectronics #chaffoteaux #bwt #aristonthermogroup</t>
  </si>
  <si>
    <t xml:space="preserve">https://www.facebook.com/122124922155206039/posts/122115094653206039</t>
  </si>
  <si>
    <t xml:space="preserve">ll 𝐂𝐎𝐍𝐓𝐎 𝐓𝐄𝐑𝐌𝐈𝐂𝐎 𝟑.𝟎 è la nuova misura di incentivo statale che sostiene interventi per l’efficienza energetica e la produzione di calore da fonti rinnovabili, come l’installazione di pompe di calore ad alta efficienza. 
Il contributo è a fondo perduto e può coprire fino al 65% delle spese ammissibili per privati e imprese, con casi particolari fino al 100% per edifici pubblici. 
La misura è uno strumento concreto per ridurre l’investimento iniziale e accelerare la transizione verso soluzioni più efficienti. 
Noi di Gen&amp;Sys ci occupiamo della gestione completa della pratica, fornendo tutta la documentazione e le certificazioni necessarie.
049 9802495 | www.genesyssrl.com | info@genesyssrl.com
📍Via Sagredo 21, Vigonovo (VE)
#genesys #genesyssrl #termoidraulica #riscaldamento #climatizzazione #pompedicalore #daikin #lgelectronics #chaffoteaux #bwt #aristonthermogroup</t>
  </si>
  <si>
    <t xml:space="preserve">https://www.facebook.com/122124922155206039/posts/122115560337206039</t>
  </si>
  <si>
    <t xml:space="preserve">Ogni impianto ha esigenze diverse.
Per questo Gen&amp;Sys propone soluzioni di 6 brand selezionati, così da offrire alternative concrete in base a contesto, configurazione e obiettivi del cliente finale.
Avere più possibilità significa poter scegliere la soluzione più adatta, non la più standard.
Il prodotto giusto nasce da una valutazione attenta.
A supporto delle scelte impiantistiche, sempre.
049 9802495 | www.genesyssrl.com | info@genesyssrl.com
📍Via Sagredo 21, Vigonovo (VE)
#genesys #genesyssrl #termoidraulica #riscaldamento #climatizzazione #pompedicalore #daikin #lgelectronics #chaffoteaux #bwt #aristonthermogroup</t>
  </si>
  <si>
    <t xml:space="preserve">https://www.facebook.com/122124922155206039/posts/122116008753206039</t>
  </si>
  <si>
    <t xml:space="preserve">📍Dove si trova la nostra sede?
In Via Sagredo 21, a Vigonovo. 
Facilmente raggiungibile dalle principali direttrici tra Padova, Venezia e la Riviera del Brenta
049 9802495 | info@genesyssrl.com
#genesys #genesyssrl #termoidraulica #riscaldamento #climatizzazione #pompedicalore #daikin #lgelectronics #chaffoteaux #bwt #aristonthermogroup</t>
  </si>
  <si>
    <t xml:space="preserve">https://www.facebook.com/122124922155206039/posts/122120792103206039</t>
  </si>
  <si>
    <t xml:space="preserve">La pompa di calore non è sempre la soluzione giusta.
Dipende dall’edificio, dall’impianto esistente e dagli obiettivi energetici.
Capire quando conviene installarla – e quando è meglio valutare un sistema diverso – è il primo passo per un impianto che funzioni davvero nel tempo.
La scelta parte dall’analisi, non dalla tendenza.
049 9802495 | info@genesyssrl.com
#genesys #genesyssrl #termoidraulica #riscaldamento #climatizzazione #pompedicalore #daikin #lgelectronics #chaffoteaux #bwt #aristonthermogroup</t>
  </si>
  <si>
    <t xml:space="preserve">https://www.facebook.com/122124922155206039/posts/122121785325206039</t>
  </si>
  <si>
    <t xml:space="preserve">Reel</t>
  </si>
  <si>
    <t xml:space="preserve">Gen&amp;Sys si racconta anche attraverso i numeri.
Esperienza, progetti realizzati, collaborazioni costruite nel tempo e competenze tecniche dedicate: sono questi gli elementi che definiscono il nostro percorso.
049 9802495 | info@genesyssrl.com
#genesys #genesyssrl #termoidraulica #riscaldamento #climatizzazione #pompedicalore #daikin #lgelectronics #chaffoteaux #bwt #aristonthermogroup</t>
  </si>
  <si>
    <t xml:space="preserve">https://www.facebook.com/reel/944101568535301/</t>
  </si>
  <si>
    <t xml:space="preserve">Scegliere una pompa di calore non significa solo guardare i kW dichiarati.
Il dimensionamento corretto parte da carico termico reale, regime di funzionamento, terminali esistenti e obiettivi energetici dell’edificio.
Un impianto sovradimensionato lavora male.
Uno sottodimensionato non garantisce comfort.
La differenza sta nella valutazione tecnica iniziale.
049 9802495 | info@genesyssrl.com</t>
  </si>
  <si>
    <t xml:space="preserve">https://www.facebook.com/122124922155206039/posts/122125123383206039</t>
  </si>
  <si>
    <t xml:space="preserve">Conto Termico 3.0 un’opportunità concreta per rendere più efficiente la tua casa o la tua azienda.
Il nuovo incentivo sostiene interventi per migliorare l’efficienza energetica e favorire l’utilizzo di fonti rinnovabili, con contributi fino al 65% delle spese ammissibili.
Caldaie, pompe di calore, solare termico e altri interventi possono diventare oggi un investimento più accessibile, con benefici immediati su consumi, comfort e sostenibilità.
Approfitta del Conto Termico 3.0 e trasforma l’efficienza in valore.
📩 Contattaci per scoprire quali interventi possono rientrare nell’incentivo.
049 9802495 | info@genesyssrl.com</t>
  </si>
  <si>
    <t xml:space="preserve">https://www.facebook.com/reel/980906034641896/</t>
  </si>
  <si>
    <t xml:space="preserve">Ogni progetto ha esigenze diverse.
Per questo Gen&amp;Sys non propone pacchetti standard, ma soluzioni impiantistiche pensate in base al contesto, agli obiettivi e alle necessità del cliente.
Dalle caldaie a gas ai sistemi ibridi, dalle pompe di calore alla climatizzazione VRV/VRF, seguiamo impianti in ambito domestico, civile e industriale con un approccio flessibile e concreto.
Perché un impianto efficiente nasce prima di tutto da una progettazione adatta alla realtà in cui verrà installato.
 📩 Raccontaci le tue esigenze: ti aiutiamo a trovare la soluzione più adatta.
049 9802495 | info@genesyssrl.com</t>
  </si>
  <si>
    <t xml:space="preserve">https://www.facebook.com/122124922155206039/posts/122128087569206039</t>
  </si>
  <si>
    <t xml:space="preserve">Un buon impianto nasce anche da una buona collaborazione.
Gen&amp;Sys affianca installatori, elettricisti e committenti nella realizzazione di soluzioni impiantistiche per il condizionamento e la climatizzazione, anche in contesti civili e industriali.
Offriamo supporto tecnico, ascolto delle esigenze e competenze specifiche su diverse tecnologie: sistemi ibridi, pompe di calore, caldaie a gas, VRV e VRF.
Non lavoriamo con formule predefinite: costruiamo risposte concrete, progetto dopo progetto.
 🔧 Hai un progetto da sviluppare? Parliamone insieme.
049 9802495 | info@genesyssrl.com</t>
  </si>
  <si>
    <t xml:space="preserve">https://www.facebook.com/122124922155206039/posts/122128675239206039</t>
  </si>
  <si>
    <t xml:space="preserve">Sicurezza
Ecologia
Risparmio energetico 
tre elementi che fanno la differenza nel tuo impianto!
E il tuo impianto com’è?
Parliamo insieme!
049 9802495 | info@genesyssrl.com</t>
  </si>
  <si>
    <t xml:space="preserve">https://www.facebook.com/reel/2395785600931683/</t>
  </si>
  <si>
    <t xml:space="preserve">Nel settore impiantistico, la soluzione più efficace non è necessariamente quella più potente o più recente. È quella più adatta al contesto in cui deve lavorare.
Per questo, prima di proporre una pompa di calore, un sistema ibrido o una soluzione per la climatizzazione, è fondamentale valutare edificio, terminali, esigenze del cliente finale e condizioni di installazione.
Gen&amp;Sys affianca installatori e professionisti nella fase di scelta, con un approccio tecnico orientato a ridurre errori, perdite di tempo e criticità operative.
Per una valutazione tecnica contattaci.
049 9802495 | info@genesyssrl.com</t>
  </si>
  <si>
    <t xml:space="preserve">https://www.facebook.com/122124922155206039/posts/122130188907206039</t>
  </si>
  <si>
    <t xml:space="preserve">Gen&amp;Sys nasce per affiancare i professionisti del settore termoidraulico con un supporto che va oltre la semplice fornitura.
Il nostro lavoro comprende consulenza pre-vendita, confronto tecnico, selezione della soluzione più adatta, supporto operativo e assistenza nella gestione delle pratiche.
Per un installatore, avere un riferimento tecnico significa poter lavorare con maggiore sicurezza, ridurre tempi di valutazione e presentare al cliente finale una proposta più completa.
Scopri come possiamo supportare il tuo prossimo progetto.
049 9802495 | info@genesyssrl.com</t>
  </si>
  <si>
    <t xml:space="preserve">https://www.facebook.com/122124922155206039/posts/122132340087206039</t>
  </si>
  <si>
    <t xml:space="preserve">Quanto ti costa scegliere un impianto sbagliato?
Noi di Gen&amp;Sys collaboriamo con te per aiutarti a ridurre errori, tempi e incertezze.
Parliamo insieme, ora. Chiama subito.
049 9802495 | info@genesyssrl.com</t>
  </si>
  <si>
    <t xml:space="preserve">https://www.facebook.com/reel/1534048818733352/</t>
  </si>
  <si>
    <t xml:space="preserve">Il trattamento acqua è spesso percepito come un elemento secondario. In realtà, può incidere in modo significativo sulla durata, sull’efficienza e sulla corretta gestione dell’impianto.
Valutare la qualità dell’acqua, scegliere i sistemi più adatti e integrare la soluzione nel progetto complessivo significa prevenire criticità e proteggere l’investimento nel tempo.
Gen&amp;Sys supporta installatori e professionisti anche in questa fase, con soluzioni dedicate al trattamento acqua e alla protezione degli impianti.
Approfondisci le soluzioni Gen&amp;Sys per il trattamento acqua, visita il nostro sito web.
049 9802495 | info@genesyssrl.com</t>
  </si>
  <si>
    <t xml:space="preserve">https://www.facebook.com/122124922155206039/posts/122134082667206039</t>
  </si>
  <si>
    <t xml:space="preserve">Ogni progetto impiantistico richiede decisioni tecniche, valutazioni operative e capacità di tradurre le esigenze del cliente finale in una proposta concreta.
Per questo l’installatore non ha bisogno solo di un fornitore, ma di un partner tecnico con cui confrontarsi.
Gen&amp;Sys affianca i professionisti nella scelta delle soluzioni, nel supporto progettuale e nella gestione delle fasi che rendono il lavoro più ordinato, preciso e sostenibile.
Costruiamo insieme la soluzione più adatta al tuo prossimo intervento.
049 9802495 | info@genesyssrl.com</t>
  </si>
  <si>
    <t xml:space="preserve">https://www.facebook.com/122124922155206039/posts/122134857423206039</t>
  </si>
  <si>
    <t xml:space="preserve">Riscaldamento e climatizzazione, senza soluzioni standard.
Gen&amp;Sys supporta i professionisti del settore nella scelta e nello sviluppo di impianti domestici, civili e industriali.
Caldaie a gas, pompe di calore, sistemi ibridi, VRV e VRF: tecnologie diverse, selezionate in base alle necessità reali del progetto e del committente.
Parlaci del tuo prossimo impianto.
049 9802495 | info@genesyssrl.com</t>
  </si>
  <si>
    <t xml:space="preserve">https://www.facebook.com/122124922155206039/posts/122135684283206039</t>
  </si>
  <si>
    <t xml:space="preserve">Una pompa di calore non si sceglie solo in base alla potenza.
Tipologia di edificio, impianto esistente e necessità del cliente sono alcuni degli elementi da considerare per individuare la soluzione più adatta.
Gen&amp;Sys affianca installatori e aziende termoidrauliche nella progettazione di impianti con pompe di calore, mettendo a disposizione esperienza, consulenza e prodotti selezionati.
Perché ogni progetto richiede una valutazione specifica.
049 9802495 | info@genesyssrl.com</t>
  </si>
  <si>
    <t xml:space="preserve">https://www.facebook.com/122124922155206039/posts/122136484857206039</t>
  </si>
  <si>
    <t xml:space="preserve">Dietro ogni impianto ben realizzato c’è una scelta ben progettata.
Gen&amp;Sys lavora al fianco dei professionisti per trasformare esigenze tecniche e operative in soluzioni concrete.
Non offriamo semplicemente prodotti: mettiamo a disposizione esperienza, consulenza e supporto per costruire insieme il risultato più adatto a ogni progetto.
049 9802495 | info@genesyssrl.com</t>
  </si>
  <si>
    <t xml:space="preserve">https://www.facebook.com/122124922155206039/posts/122137309791206039</t>
  </si>
  <si>
    <t xml:space="preserve">E se ti dicessimo che anche l’aria fredda può riscaldare una casa? 
E’ proprio quello che fa una pompa di calore!
Per saperne di più guarda il video!
049 9802495 | info@genesyssrl.com</t>
  </si>
  <si>
    <t xml:space="preserve">https://www.facebook.com/reel/2953272451689451/</t>
  </si>
  <si>
    <t xml:space="preserve">Passare alla pompa di calore significa rifare tutti i radiatori?
Non per forza.
Prima di sostituirli bisogna verificare dispersioni dell'edificio, potenza richiesta nei singoli ambienti e resa dei terminali alla nuova temperatura di mandata.
È una verifica tecnica, non una regola valida per tutti gli impianti.
Scrivici per una consulenza.
049 9802495 | info@genesyssrl.com</t>
  </si>
  <si>
    <t xml:space="preserve">https://www.facebook.com/122124922155206039/posts/122139035307206039</t>
  </si>
  <si>
    <t xml:space="preserve">La temperatura di mandata è uno dei numeri da guardare quando si valuta un impianto.
Più alta è la temperatura richiesta, maggiore sarà il lavoro richiesto alla pompa di calore.
Per questo terminali, dispersioni e macchina devono essere valutati insieme.
L'efficienza non dipende solo dal prodotto scelto, ma da come viene progettato il sistema.
049 9802495 | info@genesyssrl.com</t>
  </si>
  <si>
    <t xml:space="preserve">https://www.facebook.com/122124922155206039/posts/122139681327206039</t>
  </si>
  <si>
    <t xml:space="preserve">Prima di sostituire il generatore, vale la pena capire come sta lavorando tutto ciò che gli sta intorno.
Portate insufficienti, distribuzione non corretta o terminali non adeguati possono condizionare anche una macchina scelta correttamente.
Per questo il sopralluogo tecnico viene prima del prodotto.
049 9802495 | info@genesyssrl.com</t>
  </si>
  <si>
    <t xml:space="preserve">https://www.facebook.com/122124922155206039/posts/122140469943206039</t>
  </si>
  <si>
    <t xml:space="preserve">Due preventivi per lo stesso edificio possono arrivare a dimensionamenti diversi.
Il punto non è capire semplicemente chi propone più o meno kW, ma da quali dati nasce quel numero.
Un dimensionamento serio deve poter essere spiegato: dispersioni, condizioni di progetto, terminali e temperature di lavoro.
Perché una scelta tecnica è davvero utile quando se ne comprende il perché.
049 9802495 | info@genesyssrl.com</t>
  </si>
  <si>
    <t xml:space="preserve">https://www.facebook.com/122124922155206039/posts/122141392947206039</t>
  </si>
  <si>
    <t xml:space="preserve">Profilo Instagram @genesys_srl · dati giornalieri</t>
  </si>
  <si>
    <t xml:space="preserve">Fonte: Windsor.ai, connettore Instagram. Instagram non separa organico e sponsorizzato in questi dati.</t>
  </si>
  <si>
    <t xml:space="preserve">Account che hanno interagito</t>
  </si>
  <si>
    <t xml:space="preserve">Mi piace</t>
  </si>
  <si>
    <t xml:space="preserve">Salvataggi</t>
  </si>
  <si>
    <t xml:space="preserve">Tap su contatti</t>
  </si>
  <si>
    <t xml:space="preserve">Profilo Instagram · totali mensili</t>
  </si>
  <si>
    <t xml:space="preserve">La copertura mensile è la somma della copertura giornaliera, non il numero di persone uniche.</t>
  </si>
  <si>
    <t xml:space="preserve">Copertura (somma giornaliera)</t>
  </si>
  <si>
    <t xml:space="preserve">Profilo Instagram · contenuti del periodo</t>
  </si>
  <si>
    <t xml:space="preserve">Gen&amp;Sys è un’azienda a conduzione familiare che da oltre 15 anni lavora a fianco degli installatori.
Non siamo un semplice punto di fornitura, ma un partner tecnico che affianca ogni progetto, dalla scelta dell’impianto alla gestione delle pratiche.
049 9802495 | info@genesyssrl.com
#genesys #genesyssrl #termoidraulica #riscaldamento #climatizzazione</t>
  </si>
  <si>
    <t xml:space="preserve">https://www.instagram.com/p/DU71TRzjd4U/</t>
  </si>
  <si>
    <t xml:space="preserve">https://www.instagram.com/p/DVGRQ5PCMdJ/</t>
  </si>
  <si>
    <t xml:space="preserve">Ogni impianto ha esigenze diverse.
Per questo noi di Gen&amp;Sys proponiamo una gamma completa di soluzioni impiantistiche, selezionate per adattarsi a contesti, configurazioni e necessità differenti.
Non un unico prodotto, ma più possibilità tra cui scegliere, con il supporto tecnico giusto per individuare quella corretta.
049 9802495 | info@genesyssrl.com
#genesys #genesyssrl #termoidraulica #riscaldamento #climatizzazione #pompedicalore #daikin #lgelectronics #chaffoteaux  #bwt #aristonthermogroup</t>
  </si>
  <si>
    <t xml:space="preserve">https://www.instagram.com/p/DVLa4s5jdhI/</t>
  </si>
  <si>
    <t xml:space="preserve">La differenza non è solo in cosa fornisci, ma nel supporto che dai.
Gen&amp;Sys affianca gli installatori con un servizio completo, pensato per semplificare il lavoro e ridurre le complessità operative.
Dalla consulenza tecnica alla gestione delle pratiche, siamo presenti in ogni fase.
049 9802495 | info@genesyssrl.com
#genesys #genesyssrl #termoidraulica #riscaldamento #climatizzazione #pompedicalore #daikin #lgelectronics #chaffoteaux #bwt #aristonthermogroup</t>
  </si>
  <si>
    <t xml:space="preserve">https://www.instagram.com/p/DVQkcx9jFAH/</t>
  </si>
  <si>
    <t xml:space="preserve">ll 𝐂𝐎𝐍𝐓𝐎 𝐓𝐄𝐑𝐌𝐈𝐂𝐎 𝟑.𝟎 è la nuova misura di incentivo statale che sostiene interventi per l’efficienza energetica e la produzione di calore da fonti rinnovabili, come l’installazione di pompe di calore ad alta efficienza. 
Il contributo è a fondo perduto e può coprire fino al 65% delle spese ammissibili per privati e imprese, con casi particolari fino al 100% per edifici pubblici. 
La misura è uno strumento concreto per ridurre l’investimento iniziale e accelerare la transizione verso soluzioni più efficienti. 
Noi di Gen&amp;Sys ci occupiamo della gestione completa della pratica, fornendo tutta la documentazione e le certificazioni necessarie.
049 9802495 | info@genesyssrl.com
#genesys #genesyssrl #termoidraulica #riscaldamento #climatizzazione #pompedicalore #daikin #lgelectronics #chaffoteaux #bwt #aristonthermogroup</t>
  </si>
  <si>
    <t xml:space="preserve">https://www.instagram.com/p/DVYS5ZICHwZ/</t>
  </si>
  <si>
    <t xml:space="preserve">Ogni impianto ha esigenze diverse.
Per questo Gen&amp;Sys propone soluzioni di 6 brand selezionati, così da offrire alternative concrete in base a contesto, configurazione e obiettivi del cliente finale.
Avere più possibilità significa poter scegliere la soluzione più adatta, non la più standard.
Il prodotto giusto nasce da una valutazione attenta.
A supporto delle scelte impiantistiche, sempre.
049 9802495 | info@genesyssrl.com
#genesys #genesyssrl #termoidraulica #riscaldamento #climatizzazione #pompedicalore #daikin #lgelectronics #chaffoteaux #bwt #aristonthermogroup</t>
  </si>
  <si>
    <t xml:space="preserve">https://www.instagram.com/p/DVgBOGaD5Xi/</t>
  </si>
  <si>
    <t xml:space="preserve">https://www.instagram.com/p/DW1b_sHFgJt/</t>
  </si>
  <si>
    <t xml:space="preserve">https://www.instagram.com/p/DXJfCM4jUBE/</t>
  </si>
  <si>
    <t xml:space="preserve">https://www.instagram.com/reel/DXbgv1lDuiA/</t>
  </si>
  <si>
    <t xml:space="preserve">https://www.instagram.com/p/DYRlO2fD1ex/</t>
  </si>
  <si>
    <t xml:space="preserve">https://www.instagram.com/reel/DY1okNyDQCz/</t>
  </si>
  <si>
    <t xml:space="preserve">https://www.instagram.com/p/DZcQqYFlimp/</t>
  </si>
  <si>
    <t xml:space="preserve">https://www.instagram.com/p/DZrtBdmD7S7/</t>
  </si>
  <si>
    <t xml:space="preserve">https://www.instagram.com/reel/DaATiELkzdg/</t>
  </si>
  <si>
    <t xml:space="preserve">https://www.instagram.com/p/DaPwJlYD-LS/</t>
  </si>
  <si>
    <t xml:space="preserve">https://www.instagram.com/p/Da0GHcrFf2O/</t>
  </si>
  <si>
    <t xml:space="preserve">https://www.instagram.com/reel/DbF1Co9gmCD/</t>
  </si>
  <si>
    <t xml:space="preserve">https://www.instagram.com/p/DbX2ZGSDAtx/</t>
  </si>
  <si>
    <t xml:space="preserve">https://www.instagram.com/p/Dbp39R2DZzi/</t>
  </si>
  <si>
    <t xml:space="preserve">https://www.instagram.com/p/Db75hucj1u2/</t>
  </si>
  <si>
    <t xml:space="preserve">https://www.instagram.com/p/DcN7F9fjFgm/</t>
  </si>
  <si>
    <t xml:space="preserve">https://www.instagram.com/p/Dcf8qNciWic/</t>
  </si>
  <si>
    <t xml:space="preserve">https://www.instagram.com/reel/Dcx-QzAEyG0/</t>
  </si>
  <si>
    <t xml:space="preserve">https://www.instagram.com/p/DdJJb18D8hA/</t>
  </si>
  <si>
    <t xml:space="preserve">https://www.instagram.com/p/DdYmJytD7MC/</t>
  </si>
  <si>
    <t xml:space="preserve">https://www.instagram.com/p/DdoC6eJm66Y/</t>
  </si>
  <si>
    <t xml:space="preserve">https://www.instagram.com/p/Dd6Eek8lCBN/</t>
  </si>
  <si>
    <t xml:space="preserve">Media per formato</t>
  </si>
  <si>
    <t xml:space="preserve">Contenuti</t>
  </si>
  <si>
    <t xml:space="preserve">Copertura media</t>
  </si>
  <si>
    <t xml:space="preserve">Visualizzazioni medie</t>
  </si>
  <si>
    <t xml:space="preserve">Interazioni medie</t>
  </si>
</sst>
</file>

<file path=xl/styles.xml><?xml version="1.0" encoding="utf-8"?>
<styleSheet xmlns="http://schemas.openxmlformats.org/spreadsheetml/2006/main">
  <numFmts count="6">
    <numFmt numFmtId="164" formatCode="General"/>
    <numFmt numFmtId="165" formatCode="#,##0"/>
    <numFmt numFmtId="166" formatCode="0.00%"/>
    <numFmt numFmtId="167" formatCode="&quot;€ &quot;#,##0.00"/>
    <numFmt numFmtId="168" formatCode="0.00"/>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9"/>
      <color rgb="FF666666"/>
      <name val="Arial"/>
      <family val="0"/>
      <charset val="1"/>
    </font>
    <font>
      <b val="true"/>
      <sz val="12"/>
      <color rgb="FF1F3A4D"/>
      <name val="Arial"/>
      <family val="0"/>
      <charset val="1"/>
    </font>
    <font>
      <sz val="11"/>
      <name val="Arial"/>
      <family val="0"/>
      <charset val="1"/>
    </font>
    <font>
      <b val="true"/>
      <sz val="11"/>
      <name val="Arial"/>
      <family val="0"/>
      <charset val="1"/>
    </font>
    <font>
      <b val="true"/>
      <sz val="11"/>
      <color rgb="FF0000FF"/>
      <name val="Arial"/>
      <family val="0"/>
      <charset val="1"/>
    </font>
    <font>
      <b val="true"/>
      <sz val="14"/>
      <name val="Arial"/>
      <family val="0"/>
      <charset val="1"/>
    </font>
    <font>
      <b val="true"/>
      <sz val="11"/>
      <color rgb="FFFFFFFF"/>
      <name val="Arial"/>
      <family val="0"/>
      <charset val="1"/>
    </font>
  </fonts>
  <fills count="3">
    <fill>
      <patternFill patternType="none"/>
    </fill>
    <fill>
      <patternFill patternType="gray125"/>
    </fill>
    <fill>
      <patternFill patternType="solid">
        <fgColor rgb="FF1F3A4D"/>
        <bgColor rgb="FF003366"/>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'FB Mensile'!B15</f>
        <v>13387</v>
      </c>
    </row>
    <row r="6" customFormat="false" ht="15" hidden="false" customHeight="false" outlineLevel="0" collapsed="false">
      <c r="A6" s="4" t="s">
        <v>4</v>
      </c>
      <c r="B6" s="5" t="n">
        <f aca="false">'FB Mensile'!D15</f>
        <v>11525</v>
      </c>
    </row>
    <row r="7" customFormat="false" ht="15" hidden="false" customHeight="false" outlineLevel="0" collapsed="false">
      <c r="A7" s="4" t="s">
        <v>5</v>
      </c>
      <c r="B7" s="6" t="n">
        <f aca="false">'FB Mensile'!H15</f>
        <v>0.860909837902443</v>
      </c>
    </row>
    <row r="8" customFormat="false" ht="15" hidden="false" customHeight="false" outlineLevel="0" collapsed="false">
      <c r="A8" s="4" t="s">
        <v>6</v>
      </c>
      <c r="B8" s="5" t="n">
        <f aca="false">'FB Mensile'!E15</f>
        <v>383</v>
      </c>
    </row>
    <row r="9" customFormat="false" ht="15" hidden="false" customHeight="false" outlineLevel="0" collapsed="false">
      <c r="A9" s="4" t="s">
        <v>7</v>
      </c>
      <c r="B9" s="5" t="n">
        <f aca="false">'FB Mensile'!G15</f>
        <v>1021</v>
      </c>
    </row>
    <row r="10" customFormat="false" ht="15" hidden="false" customHeight="false" outlineLevel="0" collapsed="false">
      <c r="A10" s="4" t="s">
        <v>8</v>
      </c>
      <c r="B10" s="5" t="n">
        <f aca="false">'FB Mensile'!F15</f>
        <v>19</v>
      </c>
    </row>
    <row r="11" customFormat="false" ht="15" hidden="false" customHeight="false" outlineLevel="0" collapsed="false">
      <c r="A11" s="4" t="s">
        <v>9</v>
      </c>
      <c r="B11" s="5" t="n">
        <f aca="false">INDEX('FB Giornaliero'!G5:G278,274)</f>
        <v>19</v>
      </c>
    </row>
    <row r="12" customFormat="false" ht="15" hidden="false" customHeight="false" outlineLevel="0" collapsed="false">
      <c r="A12" s="4" t="s">
        <v>10</v>
      </c>
      <c r="B12" s="5" t="n">
        <f aca="false">COUNTIFS('FB Post'!B5:B33,"&lt;&gt;Foto copertina",'FB Post'!B5:B33,"&lt;&gt;Foto profilo")</f>
        <v>27</v>
      </c>
    </row>
    <row r="14" customFormat="false" ht="15" hidden="false" customHeight="false" outlineLevel="0" collapsed="false">
      <c r="A14" s="3" t="s">
        <v>11</v>
      </c>
    </row>
    <row r="15" customFormat="false" ht="15" hidden="false" customHeight="false" outlineLevel="0" collapsed="false">
      <c r="A15" s="4" t="s">
        <v>12</v>
      </c>
      <c r="B15" s="5" t="n">
        <f aca="false">'IG Mensile'!C15</f>
        <v>8323</v>
      </c>
    </row>
    <row r="16" customFormat="false" ht="15" hidden="false" customHeight="false" outlineLevel="0" collapsed="false">
      <c r="A16" s="4" t="s">
        <v>13</v>
      </c>
      <c r="B16" s="5" t="n">
        <f aca="false">'IG Mensile'!D15</f>
        <v>168</v>
      </c>
    </row>
    <row r="17" customFormat="false" ht="15" hidden="false" customHeight="false" outlineLevel="0" collapsed="false">
      <c r="A17" s="4" t="s">
        <v>14</v>
      </c>
      <c r="B17" s="7" t="n">
        <v>30</v>
      </c>
    </row>
    <row r="18" customFormat="false" ht="15" hidden="false" customHeight="false" outlineLevel="0" collapsed="false">
      <c r="A18" s="4" t="s">
        <v>15</v>
      </c>
      <c r="B18" s="5" t="n">
        <f aca="false">COUNTA('IG Contenuti'!A5:A31)</f>
        <v>27</v>
      </c>
    </row>
    <row r="20" customFormat="false" ht="15" hidden="false" customHeight="false" outlineLevel="0" collapsed="false">
      <c r="A20" s="3" t="s">
        <v>16</v>
      </c>
    </row>
    <row r="21" customFormat="false" ht="15" hidden="false" customHeight="false" outlineLevel="0" collapsed="false">
      <c r="A21" s="4" t="s">
        <v>17</v>
      </c>
      <c r="B21" s="8" t="n">
        <f aca="false">'ADV Campagne'!C7</f>
        <v>347.69</v>
      </c>
    </row>
    <row r="22" customFormat="false" ht="15" hidden="false" customHeight="false" outlineLevel="0" collapsed="false">
      <c r="A22" s="4" t="s">
        <v>18</v>
      </c>
      <c r="B22" s="5" t="n">
        <f aca="false">'ADV Campagne'!D7</f>
        <v>120040</v>
      </c>
    </row>
    <row r="23" customFormat="false" ht="15" hidden="false" customHeight="false" outlineLevel="0" collapsed="false">
      <c r="A23" s="4" t="s">
        <v>19</v>
      </c>
      <c r="B23" s="5" t="n">
        <f aca="false">'ADV Campagne'!H7</f>
        <v>521</v>
      </c>
    </row>
    <row r="24" customFormat="false" ht="15" hidden="false" customHeight="false" outlineLevel="0" collapsed="false">
      <c r="A24" s="4" t="s">
        <v>20</v>
      </c>
      <c r="B24" s="8" t="n">
        <f aca="false">'ADV Campagne'!J7</f>
        <v>0.667351247600768</v>
      </c>
    </row>
    <row r="25" customFormat="false" ht="15" hidden="false" customHeight="false" outlineLevel="0" collapsed="false">
      <c r="A25" s="4" t="s">
        <v>21</v>
      </c>
      <c r="B25" s="8" t="n">
        <f aca="false">'ADV Campagne'!K7</f>
        <v>2.89645118293902</v>
      </c>
    </row>
    <row r="26" customFormat="false" ht="15" hidden="false" customHeight="false" outlineLevel="0" collapsed="false">
      <c r="A26" s="4" t="s">
        <v>22</v>
      </c>
      <c r="B26" s="6" t="n">
        <f aca="false">'ADV Mese e piattaforma'!D29</f>
        <v>0.891636121292902</v>
      </c>
    </row>
    <row r="28" customFormat="false" ht="15" hidden="false" customHeight="false" outlineLevel="0" collapsed="false">
      <c r="A28" s="3" t="s">
        <v>23</v>
      </c>
    </row>
    <row r="29" customFormat="false" ht="15" hidden="false" customHeight="false" outlineLevel="0" collapsed="false">
      <c r="A29" s="9" t="s">
        <v>24</v>
      </c>
    </row>
    <row r="30" customFormat="false" ht="15" hidden="false" customHeight="false" outlineLevel="0" collapsed="false">
      <c r="A30" s="9" t="s">
        <v>25</v>
      </c>
    </row>
    <row r="31" customFormat="false" ht="15" hidden="false" customHeight="false" outlineLevel="0" collapsed="false">
      <c r="A31" s="9" t="s">
        <v>26</v>
      </c>
    </row>
    <row r="32" customFormat="false" ht="15" hidden="false" customHeight="false" outlineLevel="0" collapsed="false">
      <c r="A32" s="9" t="s">
        <v>27</v>
      </c>
    </row>
    <row r="33" customFormat="false" ht="15" hidden="false" customHeight="false" outlineLevel="0" collapsed="false">
      <c r="A33" s="9"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14" min="3" style="0" width="14"/>
  </cols>
  <sheetData>
    <row r="1" customFormat="false" ht="17.35" hidden="false" customHeight="false" outlineLevel="0" collapsed="false">
      <c r="A1" s="10" t="s">
        <v>29</v>
      </c>
    </row>
    <row r="2" customFormat="false" ht="15" hidden="false" customHeight="false" outlineLevel="0" collapsed="false">
      <c r="A2" s="2" t="s">
        <v>30</v>
      </c>
    </row>
    <row r="4" customFormat="false" ht="31.5" hidden="false" customHeight="true" outlineLevel="0" collapsed="false">
      <c r="A4" s="11" t="s">
        <v>31</v>
      </c>
      <c r="B4" s="11" t="s">
        <v>32</v>
      </c>
      <c r="C4" s="11" t="s">
        <v>33</v>
      </c>
      <c r="D4" s="11" t="s">
        <v>34</v>
      </c>
      <c r="E4" s="11" t="s">
        <v>35</v>
      </c>
      <c r="F4" s="11" t="s">
        <v>36</v>
      </c>
      <c r="G4" s="11" t="s">
        <v>37</v>
      </c>
      <c r="H4" s="11" t="s">
        <v>19</v>
      </c>
      <c r="I4" s="11" t="s">
        <v>38</v>
      </c>
      <c r="J4" s="11" t="s">
        <v>39</v>
      </c>
      <c r="K4" s="11" t="s">
        <v>21</v>
      </c>
      <c r="L4" s="11" t="s">
        <v>40</v>
      </c>
      <c r="M4" s="11" t="s">
        <v>41</v>
      </c>
      <c r="N4" s="11" t="s">
        <v>42</v>
      </c>
    </row>
    <row r="5" customFormat="false" ht="15" hidden="false" customHeight="false" outlineLevel="0" collapsed="false">
      <c r="A5" s="4" t="s">
        <v>43</v>
      </c>
      <c r="B5" s="4" t="s">
        <v>44</v>
      </c>
      <c r="C5" s="12" t="n">
        <v>297.71</v>
      </c>
      <c r="D5" s="13" t="n">
        <v>108384</v>
      </c>
      <c r="E5" s="13" t="n">
        <v>19810</v>
      </c>
      <c r="F5" s="14" t="n">
        <f aca="false">IFERROR(D5/E5,0)</f>
        <v>5.47117617364967</v>
      </c>
      <c r="G5" s="13" t="n">
        <v>172</v>
      </c>
      <c r="H5" s="13" t="n">
        <v>170</v>
      </c>
      <c r="I5" s="15" t="n">
        <f aca="false">IFERROR(H5/D5,0)</f>
        <v>0.00156849719515796</v>
      </c>
      <c r="J5" s="12" t="n">
        <f aca="false">IFERROR(C5/H5,0)</f>
        <v>1.75123529411765</v>
      </c>
      <c r="K5" s="12" t="n">
        <f aca="false">IFERROR(C5/D5*1000,0)</f>
        <v>2.74680764688515</v>
      </c>
      <c r="L5" s="13" t="n">
        <v>106378</v>
      </c>
      <c r="M5" s="13" t="n">
        <v>106552</v>
      </c>
      <c r="N5" s="13" t="n">
        <v>0</v>
      </c>
    </row>
    <row r="6" customFormat="false" ht="15" hidden="false" customHeight="false" outlineLevel="0" collapsed="false">
      <c r="A6" s="4" t="s">
        <v>45</v>
      </c>
      <c r="B6" s="4" t="s">
        <v>46</v>
      </c>
      <c r="C6" s="12" t="n">
        <v>49.98</v>
      </c>
      <c r="D6" s="13" t="n">
        <v>11656</v>
      </c>
      <c r="E6" s="13" t="n">
        <v>8162</v>
      </c>
      <c r="F6" s="14" t="n">
        <f aca="false">IFERROR(D6/E6,0)</f>
        <v>1.42808135260965</v>
      </c>
      <c r="G6" s="13" t="n">
        <v>431</v>
      </c>
      <c r="H6" s="13" t="n">
        <v>351</v>
      </c>
      <c r="I6" s="15" t="n">
        <f aca="false">IFERROR(H6/D6,0)</f>
        <v>0.0301132463967056</v>
      </c>
      <c r="J6" s="12" t="n">
        <f aca="false">IFERROR(C6/H6,0)</f>
        <v>0.142393162393162</v>
      </c>
      <c r="K6" s="12" t="n">
        <f aca="false">IFERROR(C6/D6*1000,0)</f>
        <v>4.28792038435141</v>
      </c>
      <c r="L6" s="13" t="n">
        <v>2885</v>
      </c>
      <c r="M6" s="13" t="n">
        <v>3258</v>
      </c>
      <c r="N6" s="13" t="n">
        <v>8</v>
      </c>
    </row>
    <row r="7" customFormat="false" ht="15" hidden="false" customHeight="false" outlineLevel="0" collapsed="false">
      <c r="A7" s="16" t="s">
        <v>47</v>
      </c>
      <c r="C7" s="17" t="n">
        <f aca="false">SUM(C5:C6)</f>
        <v>347.69</v>
      </c>
      <c r="D7" s="18" t="n">
        <f aca="false">SUM(D5:D6)</f>
        <v>120040</v>
      </c>
      <c r="E7" s="19" t="s">
        <v>48</v>
      </c>
      <c r="G7" s="18" t="n">
        <f aca="false">SUM(G5:G6)</f>
        <v>603</v>
      </c>
      <c r="H7" s="18" t="n">
        <f aca="false">SUM(H5:H6)</f>
        <v>521</v>
      </c>
      <c r="I7" s="20" t="n">
        <f aca="false">IFERROR(H7/D7,0)</f>
        <v>0.0043402199266911</v>
      </c>
      <c r="J7" s="17" t="n">
        <f aca="false">IFERROR(C7/H7,0)</f>
        <v>0.667351247600768</v>
      </c>
      <c r="K7" s="17" t="n">
        <f aca="false">IFERROR(C7/D7*1000,0)</f>
        <v>2.89645118293902</v>
      </c>
      <c r="L7" s="18" t="n">
        <f aca="false">SUM(L5:L6)</f>
        <v>109263</v>
      </c>
      <c r="M7" s="18" t="n">
        <f aca="false">SUM(M5:M6)</f>
        <v>109810</v>
      </c>
      <c r="N7" s="18" t="n">
        <f aca="false">SUM(N5:N6)</f>
        <v>8</v>
      </c>
    </row>
    <row r="8" customFormat="false" ht="15" hidden="false" customHeight="false" outlineLevel="0" collapsed="false">
      <c r="A8" s="2" t="s">
        <v>49</v>
      </c>
    </row>
    <row r="10" customFormat="false" ht="15" hidden="false" customHeight="false" outlineLevel="0" collapsed="false">
      <c r="A10" s="16" t="s">
        <v>50</v>
      </c>
    </row>
    <row r="11" customFormat="false" ht="15" hidden="false" customHeight="false" outlineLevel="0" collapsed="false">
      <c r="A11" s="21" t="s">
        <v>51</v>
      </c>
      <c r="B11" s="21" t="s">
        <v>31</v>
      </c>
      <c r="C11" s="21" t="s">
        <v>33</v>
      </c>
      <c r="D11" s="21" t="s">
        <v>34</v>
      </c>
    </row>
    <row r="12" customFormat="false" ht="15" hidden="false" customHeight="false" outlineLevel="0" collapsed="false">
      <c r="A12" s="9" t="s">
        <v>52</v>
      </c>
      <c r="B12" s="9" t="s">
        <v>43</v>
      </c>
      <c r="C12" s="22" t="n">
        <v>2.75</v>
      </c>
      <c r="D12" s="23" t="n">
        <v>881</v>
      </c>
    </row>
    <row r="13" customFormat="false" ht="15" hidden="false" customHeight="false" outlineLevel="0" collapsed="false">
      <c r="A13" s="9" t="s">
        <v>53</v>
      </c>
      <c r="B13" s="9" t="s">
        <v>43</v>
      </c>
      <c r="C13" s="22" t="n">
        <v>2.43</v>
      </c>
      <c r="D13" s="23" t="n">
        <v>757</v>
      </c>
    </row>
    <row r="14" customFormat="false" ht="15" hidden="false" customHeight="false" outlineLevel="0" collapsed="false">
      <c r="A14" s="9" t="s">
        <v>54</v>
      </c>
      <c r="B14" s="9" t="s">
        <v>43</v>
      </c>
      <c r="C14" s="22" t="n">
        <v>2.57</v>
      </c>
      <c r="D14" s="23" t="n">
        <v>844</v>
      </c>
    </row>
    <row r="15" customFormat="false" ht="15" hidden="false" customHeight="false" outlineLevel="0" collapsed="false">
      <c r="A15" s="9" t="s">
        <v>55</v>
      </c>
      <c r="B15" s="9" t="s">
        <v>43</v>
      </c>
      <c r="C15" s="22" t="n">
        <v>2.25</v>
      </c>
      <c r="D15" s="23" t="n">
        <v>741</v>
      </c>
    </row>
    <row r="16" customFormat="false" ht="15" hidden="false" customHeight="false" outlineLevel="0" collapsed="false">
      <c r="A16" s="9" t="s">
        <v>56</v>
      </c>
      <c r="B16" s="9" t="s">
        <v>43</v>
      </c>
      <c r="C16" s="22" t="n">
        <v>2.06</v>
      </c>
      <c r="D16" s="23" t="n">
        <v>681</v>
      </c>
    </row>
    <row r="17" customFormat="false" ht="15" hidden="false" customHeight="false" outlineLevel="0" collapsed="false">
      <c r="A17" s="9" t="s">
        <v>57</v>
      </c>
      <c r="B17" s="9" t="s">
        <v>43</v>
      </c>
      <c r="C17" s="22" t="n">
        <v>2.26</v>
      </c>
      <c r="D17" s="23" t="n">
        <v>729</v>
      </c>
    </row>
    <row r="18" customFormat="false" ht="15" hidden="false" customHeight="false" outlineLevel="0" collapsed="false">
      <c r="A18" s="9" t="s">
        <v>58</v>
      </c>
      <c r="B18" s="9" t="s">
        <v>43</v>
      </c>
      <c r="C18" s="22" t="n">
        <v>2.09</v>
      </c>
      <c r="D18" s="23" t="n">
        <v>629</v>
      </c>
    </row>
    <row r="19" customFormat="false" ht="15" hidden="false" customHeight="false" outlineLevel="0" collapsed="false">
      <c r="A19" s="9" t="s">
        <v>59</v>
      </c>
      <c r="B19" s="9" t="s">
        <v>43</v>
      </c>
      <c r="C19" s="22" t="n">
        <v>2.37</v>
      </c>
      <c r="D19" s="23" t="n">
        <v>748</v>
      </c>
    </row>
    <row r="20" customFormat="false" ht="15" hidden="false" customHeight="false" outlineLevel="0" collapsed="false">
      <c r="A20" s="9" t="s">
        <v>60</v>
      </c>
      <c r="B20" s="9" t="s">
        <v>43</v>
      </c>
      <c r="C20" s="22" t="n">
        <v>2.59</v>
      </c>
      <c r="D20" s="23" t="n">
        <v>765</v>
      </c>
    </row>
    <row r="21" customFormat="false" ht="15" hidden="false" customHeight="false" outlineLevel="0" collapsed="false">
      <c r="A21" s="9" t="s">
        <v>61</v>
      </c>
      <c r="B21" s="9" t="s">
        <v>43</v>
      </c>
      <c r="C21" s="22" t="n">
        <v>1.92</v>
      </c>
      <c r="D21" s="23" t="n">
        <v>636</v>
      </c>
    </row>
    <row r="22" customFormat="false" ht="15" hidden="false" customHeight="false" outlineLevel="0" collapsed="false">
      <c r="A22" s="9" t="s">
        <v>62</v>
      </c>
      <c r="B22" s="9" t="s">
        <v>43</v>
      </c>
      <c r="C22" s="22" t="n">
        <v>1.79</v>
      </c>
      <c r="D22" s="23" t="n">
        <v>639</v>
      </c>
    </row>
    <row r="23" customFormat="false" ht="15" hidden="false" customHeight="false" outlineLevel="0" collapsed="false">
      <c r="A23" s="9" t="s">
        <v>63</v>
      </c>
      <c r="B23" s="9" t="s">
        <v>43</v>
      </c>
      <c r="C23" s="22" t="n">
        <v>1.75</v>
      </c>
      <c r="D23" s="23" t="n">
        <v>646</v>
      </c>
    </row>
    <row r="24" customFormat="false" ht="15" hidden="false" customHeight="false" outlineLevel="0" collapsed="false">
      <c r="A24" s="9" t="s">
        <v>64</v>
      </c>
      <c r="B24" s="9" t="s">
        <v>43</v>
      </c>
      <c r="C24" s="22" t="n">
        <v>1.95</v>
      </c>
      <c r="D24" s="23" t="n">
        <v>682</v>
      </c>
    </row>
    <row r="25" customFormat="false" ht="15" hidden="false" customHeight="false" outlineLevel="0" collapsed="false">
      <c r="A25" s="9" t="s">
        <v>65</v>
      </c>
      <c r="B25" s="9" t="s">
        <v>43</v>
      </c>
      <c r="C25" s="22" t="n">
        <v>1.05</v>
      </c>
      <c r="D25" s="23" t="n">
        <v>338</v>
      </c>
    </row>
    <row r="26" customFormat="false" ht="15" hidden="false" customHeight="false" outlineLevel="0" collapsed="false">
      <c r="A26" s="16" t="s">
        <v>66</v>
      </c>
      <c r="C26" s="17" t="n">
        <f aca="false">SUM(C12:C25)</f>
        <v>29.83</v>
      </c>
    </row>
  </sheetData>
  <autoFilter ref="A4:N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8"/>
    <col collapsed="false" customWidth="true" hidden="false" outlineLevel="0" max="10" min="4" style="0" width="14"/>
  </cols>
  <sheetData>
    <row r="1" customFormat="false" ht="17.35" hidden="false" customHeight="false" outlineLevel="0" collapsed="false">
      <c r="A1" s="10" t="s">
        <v>67</v>
      </c>
    </row>
    <row r="2" customFormat="false" ht="15" hidden="false" customHeight="false" outlineLevel="0" collapsed="false">
      <c r="A2" s="2" t="s">
        <v>68</v>
      </c>
    </row>
    <row r="4" customFormat="false" ht="31.5" hidden="false" customHeight="true" outlineLevel="0" collapsed="false">
      <c r="A4" s="11" t="s">
        <v>31</v>
      </c>
      <c r="B4" s="11" t="s">
        <v>69</v>
      </c>
      <c r="C4" s="11" t="s">
        <v>70</v>
      </c>
      <c r="D4" s="11" t="s">
        <v>33</v>
      </c>
      <c r="E4" s="11" t="s">
        <v>34</v>
      </c>
      <c r="F4" s="11" t="s">
        <v>19</v>
      </c>
      <c r="G4" s="11" t="s">
        <v>38</v>
      </c>
      <c r="H4" s="11" t="s">
        <v>39</v>
      </c>
      <c r="I4" s="11" t="s">
        <v>40</v>
      </c>
      <c r="J4" s="11" t="s">
        <v>71</v>
      </c>
    </row>
    <row r="5" customFormat="false" ht="15" hidden="false" customHeight="false" outlineLevel="0" collapsed="false">
      <c r="A5" s="4" t="s">
        <v>43</v>
      </c>
      <c r="B5" s="4" t="s">
        <v>72</v>
      </c>
      <c r="C5" s="4" t="s">
        <v>73</v>
      </c>
      <c r="D5" s="12" t="n">
        <v>97.71</v>
      </c>
      <c r="E5" s="13" t="n">
        <v>32866</v>
      </c>
      <c r="F5" s="13" t="n">
        <v>0</v>
      </c>
      <c r="G5" s="15" t="n">
        <f aca="false">IFERROR(F5/E5,0)</f>
        <v>0</v>
      </c>
      <c r="H5" s="12" t="n">
        <f aca="false">IFERROR(D5/F5,0)</f>
        <v>0</v>
      </c>
      <c r="I5" s="13" t="n">
        <v>32252</v>
      </c>
      <c r="J5" s="13" t="n">
        <v>6662</v>
      </c>
    </row>
    <row r="6" customFormat="false" ht="15" hidden="false" customHeight="false" outlineLevel="0" collapsed="false">
      <c r="A6" s="4" t="s">
        <v>43</v>
      </c>
      <c r="B6" s="4" t="s">
        <v>72</v>
      </c>
      <c r="C6" s="4" t="s">
        <v>74</v>
      </c>
      <c r="D6" s="12" t="n">
        <v>150</v>
      </c>
      <c r="E6" s="13" t="n">
        <v>57405</v>
      </c>
      <c r="F6" s="13" t="n">
        <v>135</v>
      </c>
      <c r="G6" s="15" t="n">
        <f aca="false">IFERROR(F6/E6,0)</f>
        <v>0.00235171152338646</v>
      </c>
      <c r="H6" s="12" t="n">
        <f aca="false">IFERROR(D6/F6,0)</f>
        <v>1.11111111111111</v>
      </c>
      <c r="I6" s="13" t="n">
        <v>56209</v>
      </c>
      <c r="J6" s="13" t="n">
        <v>11501</v>
      </c>
    </row>
    <row r="7" customFormat="false" ht="15" hidden="false" customHeight="false" outlineLevel="0" collapsed="false">
      <c r="A7" s="4" t="s">
        <v>43</v>
      </c>
      <c r="B7" s="4" t="s">
        <v>72</v>
      </c>
      <c r="C7" s="4" t="s">
        <v>75</v>
      </c>
      <c r="D7" s="12" t="n">
        <v>50</v>
      </c>
      <c r="E7" s="13" t="n">
        <v>18113</v>
      </c>
      <c r="F7" s="13" t="n">
        <v>35</v>
      </c>
      <c r="G7" s="15" t="n">
        <f aca="false">IFERROR(F7/E7,0)</f>
        <v>0.00193231380776238</v>
      </c>
      <c r="H7" s="12" t="n">
        <f aca="false">IFERROR(D7/F7,0)</f>
        <v>1.42857142857143</v>
      </c>
      <c r="I7" s="13" t="n">
        <v>17917</v>
      </c>
      <c r="J7" s="13" t="n">
        <v>17259</v>
      </c>
    </row>
    <row r="8" customFormat="false" ht="15" hidden="false" customHeight="false" outlineLevel="0" collapsed="false">
      <c r="A8" s="4" t="s">
        <v>45</v>
      </c>
      <c r="B8" s="4" t="s">
        <v>76</v>
      </c>
      <c r="C8" s="4" t="s">
        <v>77</v>
      </c>
      <c r="D8" s="12" t="n">
        <v>49.98</v>
      </c>
      <c r="E8" s="13" t="n">
        <v>11656</v>
      </c>
      <c r="F8" s="13" t="n">
        <v>351</v>
      </c>
      <c r="G8" s="15" t="n">
        <f aca="false">IFERROR(F8/E8,0)</f>
        <v>0.0301132463967056</v>
      </c>
      <c r="H8" s="12" t="n">
        <f aca="false">IFERROR(D8/F8,0)</f>
        <v>0.142393162393162</v>
      </c>
      <c r="I8" s="13" t="n">
        <v>2885</v>
      </c>
      <c r="J8" s="13" t="n">
        <v>292</v>
      </c>
    </row>
  </sheetData>
  <autoFilter ref="A4:J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8"/>
    <col collapsed="false" customWidth="true" hidden="false" outlineLevel="0" max="8" min="4" style="0" width="14"/>
  </cols>
  <sheetData>
    <row r="1" customFormat="false" ht="17.35" hidden="false" customHeight="false" outlineLevel="0" collapsed="false">
      <c r="A1" s="10" t="s">
        <v>78</v>
      </c>
    </row>
    <row r="2" customFormat="false" ht="15" hidden="false" customHeight="false" outlineLevel="0" collapsed="false">
      <c r="A2" s="2" t="s">
        <v>79</v>
      </c>
    </row>
    <row r="4" customFormat="false" ht="31.5" hidden="false" customHeight="true" outlineLevel="0" collapsed="false">
      <c r="A4" s="11" t="s">
        <v>80</v>
      </c>
      <c r="B4" s="11" t="s">
        <v>31</v>
      </c>
      <c r="C4" s="11" t="s">
        <v>81</v>
      </c>
      <c r="D4" s="11" t="s">
        <v>33</v>
      </c>
      <c r="E4" s="11" t="s">
        <v>34</v>
      </c>
      <c r="F4" s="11" t="s">
        <v>35</v>
      </c>
      <c r="G4" s="11" t="s">
        <v>19</v>
      </c>
      <c r="H4" s="11" t="s">
        <v>40</v>
      </c>
    </row>
    <row r="5" customFormat="false" ht="15" hidden="false" customHeight="false" outlineLevel="0" collapsed="false">
      <c r="A5" s="4" t="s">
        <v>82</v>
      </c>
      <c r="B5" s="4" t="s">
        <v>43</v>
      </c>
      <c r="C5" s="4" t="s">
        <v>83</v>
      </c>
      <c r="D5" s="12" t="n">
        <v>19.04</v>
      </c>
      <c r="E5" s="13" t="n">
        <v>4195</v>
      </c>
      <c r="F5" s="13" t="n">
        <v>1789</v>
      </c>
      <c r="G5" s="13" t="n">
        <v>11</v>
      </c>
      <c r="H5" s="13" t="n">
        <v>4170</v>
      </c>
    </row>
    <row r="6" customFormat="false" ht="15" hidden="false" customHeight="false" outlineLevel="0" collapsed="false">
      <c r="A6" s="4" t="s">
        <v>82</v>
      </c>
      <c r="B6" s="4" t="s">
        <v>43</v>
      </c>
      <c r="C6" s="4" t="s">
        <v>84</v>
      </c>
      <c r="D6" s="12" t="n">
        <v>1.74</v>
      </c>
      <c r="E6" s="13" t="n">
        <v>1058</v>
      </c>
      <c r="F6" s="13" t="n">
        <v>985</v>
      </c>
      <c r="G6" s="13" t="n">
        <v>3</v>
      </c>
      <c r="H6" s="13" t="n">
        <v>362</v>
      </c>
    </row>
    <row r="7" customFormat="false" ht="15" hidden="false" customHeight="false" outlineLevel="0" collapsed="false">
      <c r="A7" s="4" t="s">
        <v>82</v>
      </c>
      <c r="B7" s="4" t="s">
        <v>43</v>
      </c>
      <c r="C7" s="4" t="s">
        <v>85</v>
      </c>
      <c r="D7" s="12" t="n">
        <v>0.11</v>
      </c>
      <c r="E7" s="13" t="n">
        <v>74</v>
      </c>
      <c r="F7" s="13" t="n">
        <v>74</v>
      </c>
      <c r="G7" s="13" t="n">
        <v>0</v>
      </c>
      <c r="H7" s="13" t="n">
        <v>24</v>
      </c>
    </row>
    <row r="8" customFormat="false" ht="15" hidden="false" customHeight="false" outlineLevel="0" collapsed="false">
      <c r="A8" s="4" t="s">
        <v>82</v>
      </c>
      <c r="B8" s="4" t="s">
        <v>43</v>
      </c>
      <c r="C8" s="4" t="s">
        <v>86</v>
      </c>
      <c r="D8" s="12" t="n">
        <v>0</v>
      </c>
      <c r="E8" s="13" t="n">
        <v>1</v>
      </c>
      <c r="F8" s="13" t="n">
        <v>1</v>
      </c>
      <c r="G8" s="13" t="n">
        <v>0</v>
      </c>
      <c r="H8" s="13" t="n">
        <v>1</v>
      </c>
    </row>
    <row r="9" customFormat="false" ht="15" hidden="false" customHeight="false" outlineLevel="0" collapsed="false">
      <c r="A9" s="4" t="s">
        <v>87</v>
      </c>
      <c r="B9" s="4" t="s">
        <v>43</v>
      </c>
      <c r="C9" s="4" t="s">
        <v>83</v>
      </c>
      <c r="D9" s="12" t="n">
        <v>129.09</v>
      </c>
      <c r="E9" s="13" t="n">
        <v>52054</v>
      </c>
      <c r="F9" s="13" t="n">
        <v>10408</v>
      </c>
      <c r="G9" s="13" t="n">
        <v>121</v>
      </c>
      <c r="H9" s="13" t="n">
        <v>51640</v>
      </c>
    </row>
    <row r="10" customFormat="false" ht="15" hidden="false" customHeight="false" outlineLevel="0" collapsed="false">
      <c r="A10" s="4" t="s">
        <v>87</v>
      </c>
      <c r="B10" s="4" t="s">
        <v>43</v>
      </c>
      <c r="C10" s="4" t="s">
        <v>84</v>
      </c>
      <c r="D10" s="12" t="n">
        <v>0.02</v>
      </c>
      <c r="E10" s="13" t="n">
        <v>22</v>
      </c>
      <c r="F10" s="13" t="n">
        <v>19</v>
      </c>
      <c r="G10" s="13" t="n">
        <v>0</v>
      </c>
      <c r="H10" s="13" t="n">
        <v>11</v>
      </c>
    </row>
    <row r="11" customFormat="false" ht="15" hidden="false" customHeight="false" outlineLevel="0" collapsed="false">
      <c r="A11" s="4" t="s">
        <v>87</v>
      </c>
      <c r="B11" s="4" t="s">
        <v>43</v>
      </c>
      <c r="C11" s="4" t="s">
        <v>85</v>
      </c>
      <c r="D11" s="12" t="n">
        <v>0</v>
      </c>
      <c r="E11" s="13" t="n">
        <v>1</v>
      </c>
      <c r="F11" s="13" t="n">
        <v>1</v>
      </c>
      <c r="G11" s="13" t="n">
        <v>0</v>
      </c>
      <c r="H11" s="13" t="n">
        <v>1</v>
      </c>
    </row>
    <row r="12" customFormat="false" ht="15" hidden="false" customHeight="false" outlineLevel="0" collapsed="false">
      <c r="A12" s="4" t="s">
        <v>88</v>
      </c>
      <c r="B12" s="4" t="s">
        <v>43</v>
      </c>
      <c r="C12" s="4" t="s">
        <v>83</v>
      </c>
      <c r="D12" s="12" t="n">
        <v>49.82</v>
      </c>
      <c r="E12" s="13" t="n">
        <v>18028</v>
      </c>
      <c r="F12" s="13" t="n">
        <v>4025</v>
      </c>
      <c r="G12" s="13" t="n">
        <v>33</v>
      </c>
      <c r="H12" s="13" t="n">
        <v>17881</v>
      </c>
    </row>
    <row r="13" customFormat="false" ht="15" hidden="false" customHeight="false" outlineLevel="0" collapsed="false">
      <c r="A13" s="4" t="s">
        <v>88</v>
      </c>
      <c r="B13" s="4" t="s">
        <v>43</v>
      </c>
      <c r="C13" s="4" t="s">
        <v>84</v>
      </c>
      <c r="D13" s="12" t="n">
        <v>0.18</v>
      </c>
      <c r="E13" s="13" t="n">
        <v>75</v>
      </c>
      <c r="F13" s="13" t="n">
        <v>73</v>
      </c>
      <c r="G13" s="13" t="n">
        <v>2</v>
      </c>
      <c r="H13" s="13" t="n">
        <v>33</v>
      </c>
    </row>
    <row r="14" customFormat="false" ht="15" hidden="false" customHeight="false" outlineLevel="0" collapsed="false">
      <c r="A14" s="4" t="s">
        <v>88</v>
      </c>
      <c r="B14" s="4" t="s">
        <v>43</v>
      </c>
      <c r="C14" s="4" t="s">
        <v>85</v>
      </c>
      <c r="D14" s="12" t="n">
        <v>0</v>
      </c>
      <c r="E14" s="13" t="n">
        <v>6</v>
      </c>
      <c r="F14" s="13" t="n">
        <v>6</v>
      </c>
      <c r="G14" s="13" t="n">
        <v>0</v>
      </c>
      <c r="H14" s="13" t="n">
        <v>2</v>
      </c>
    </row>
    <row r="15" customFormat="false" ht="15" hidden="false" customHeight="false" outlineLevel="0" collapsed="false">
      <c r="A15" s="4" t="s">
        <v>88</v>
      </c>
      <c r="B15" s="4" t="s">
        <v>43</v>
      </c>
      <c r="C15" s="4" t="s">
        <v>86</v>
      </c>
      <c r="D15" s="12" t="n">
        <v>0</v>
      </c>
      <c r="E15" s="13" t="n">
        <v>4</v>
      </c>
      <c r="F15" s="13" t="n">
        <v>4</v>
      </c>
      <c r="G15" s="13" t="n">
        <v>0</v>
      </c>
      <c r="H15" s="13" t="n">
        <v>1</v>
      </c>
    </row>
    <row r="16" customFormat="false" ht="15" hidden="false" customHeight="false" outlineLevel="0" collapsed="false">
      <c r="A16" s="4" t="s">
        <v>89</v>
      </c>
      <c r="B16" s="4" t="s">
        <v>43</v>
      </c>
      <c r="C16" s="4" t="s">
        <v>83</v>
      </c>
      <c r="D16" s="12" t="n">
        <v>11.84</v>
      </c>
      <c r="E16" s="13" t="n">
        <v>4855</v>
      </c>
      <c r="F16" s="13" t="n">
        <v>1735</v>
      </c>
      <c r="G16" s="13" t="n">
        <v>0</v>
      </c>
      <c r="H16" s="13" t="n">
        <v>4767</v>
      </c>
    </row>
    <row r="17" customFormat="false" ht="15" hidden="false" customHeight="false" outlineLevel="0" collapsed="false">
      <c r="A17" s="4" t="s">
        <v>89</v>
      </c>
      <c r="B17" s="4" t="s">
        <v>43</v>
      </c>
      <c r="C17" s="4" t="s">
        <v>84</v>
      </c>
      <c r="D17" s="12" t="n">
        <v>0.03</v>
      </c>
      <c r="E17" s="13" t="n">
        <v>56</v>
      </c>
      <c r="F17" s="13" t="n">
        <v>50</v>
      </c>
      <c r="G17" s="13" t="n">
        <v>0</v>
      </c>
      <c r="H17" s="13" t="n">
        <v>30</v>
      </c>
    </row>
    <row r="18" customFormat="false" ht="15" hidden="false" customHeight="false" outlineLevel="0" collapsed="false">
      <c r="A18" s="4" t="s">
        <v>89</v>
      </c>
      <c r="B18" s="4" t="s">
        <v>43</v>
      </c>
      <c r="C18" s="4" t="s">
        <v>85</v>
      </c>
      <c r="D18" s="12" t="n">
        <v>0.02</v>
      </c>
      <c r="E18" s="13" t="n">
        <v>37</v>
      </c>
      <c r="F18" s="13" t="n">
        <v>35</v>
      </c>
      <c r="G18" s="13" t="n">
        <v>0</v>
      </c>
      <c r="H18" s="13" t="n">
        <v>11</v>
      </c>
    </row>
    <row r="19" customFormat="false" ht="15" hidden="false" customHeight="false" outlineLevel="0" collapsed="false">
      <c r="A19" s="4" t="s">
        <v>89</v>
      </c>
      <c r="B19" s="4" t="s">
        <v>43</v>
      </c>
      <c r="C19" s="4" t="s">
        <v>86</v>
      </c>
      <c r="D19" s="12" t="n">
        <v>0.01</v>
      </c>
      <c r="E19" s="13" t="n">
        <v>10</v>
      </c>
      <c r="F19" s="13" t="n">
        <v>10</v>
      </c>
      <c r="G19" s="13" t="n">
        <v>0</v>
      </c>
      <c r="H19" s="13" t="n">
        <v>8</v>
      </c>
    </row>
    <row r="20" customFormat="false" ht="15" hidden="false" customHeight="false" outlineLevel="0" collapsed="false">
      <c r="A20" s="4" t="s">
        <v>90</v>
      </c>
      <c r="B20" s="4" t="s">
        <v>43</v>
      </c>
      <c r="C20" s="4" t="s">
        <v>83</v>
      </c>
      <c r="D20" s="12" t="n">
        <v>83.49</v>
      </c>
      <c r="E20" s="13" t="n">
        <v>27188</v>
      </c>
      <c r="F20" s="13" t="n">
        <v>6997</v>
      </c>
      <c r="G20" s="13" t="n">
        <v>0</v>
      </c>
      <c r="H20" s="13" t="n">
        <v>26726</v>
      </c>
    </row>
    <row r="21" customFormat="false" ht="15" hidden="false" customHeight="false" outlineLevel="0" collapsed="false">
      <c r="A21" s="4" t="s">
        <v>90</v>
      </c>
      <c r="B21" s="4" t="s">
        <v>43</v>
      </c>
      <c r="C21" s="4" t="s">
        <v>84</v>
      </c>
      <c r="D21" s="12" t="n">
        <v>0</v>
      </c>
      <c r="E21" s="13" t="n">
        <v>8</v>
      </c>
      <c r="F21" s="13" t="n">
        <v>8</v>
      </c>
      <c r="G21" s="13" t="n">
        <v>0</v>
      </c>
      <c r="H21" s="13" t="n">
        <v>4</v>
      </c>
    </row>
    <row r="22" customFormat="false" ht="15" hidden="false" customHeight="false" outlineLevel="0" collapsed="false">
      <c r="A22" s="4" t="s">
        <v>90</v>
      </c>
      <c r="B22" s="4" t="s">
        <v>45</v>
      </c>
      <c r="C22" s="4" t="s">
        <v>84</v>
      </c>
      <c r="D22" s="12" t="n">
        <v>37.1</v>
      </c>
      <c r="E22" s="13" t="n">
        <v>7255</v>
      </c>
      <c r="F22" s="13" t="n">
        <v>5131</v>
      </c>
      <c r="G22" s="13" t="n">
        <v>263</v>
      </c>
      <c r="H22" s="13" t="n">
        <v>2117</v>
      </c>
    </row>
    <row r="23" customFormat="false" ht="15" hidden="false" customHeight="false" outlineLevel="0" collapsed="false">
      <c r="A23" s="4" t="s">
        <v>90</v>
      </c>
      <c r="B23" s="4" t="s">
        <v>45</v>
      </c>
      <c r="C23" s="4" t="s">
        <v>85</v>
      </c>
      <c r="D23" s="12" t="n">
        <v>12.88</v>
      </c>
      <c r="E23" s="13" t="n">
        <v>4401</v>
      </c>
      <c r="F23" s="13" t="n">
        <v>3314</v>
      </c>
      <c r="G23" s="13" t="n">
        <v>88</v>
      </c>
      <c r="H23" s="13" t="n">
        <v>768</v>
      </c>
    </row>
    <row r="24" customFormat="false" ht="15" hidden="false" customHeight="false" outlineLevel="0" collapsed="false">
      <c r="A24" s="4" t="s">
        <v>91</v>
      </c>
      <c r="B24" s="4" t="s">
        <v>43</v>
      </c>
      <c r="C24" s="4" t="s">
        <v>83</v>
      </c>
      <c r="D24" s="12" t="n">
        <v>2.32</v>
      </c>
      <c r="E24" s="13" t="n">
        <v>712</v>
      </c>
      <c r="F24" s="13" t="n">
        <v>340</v>
      </c>
      <c r="G24" s="13" t="n">
        <v>0</v>
      </c>
      <c r="H24" s="13" t="n">
        <v>706</v>
      </c>
    </row>
    <row r="27" customFormat="false" ht="15" hidden="false" customHeight="false" outlineLevel="0" collapsed="false">
      <c r="A27" s="16" t="s">
        <v>92</v>
      </c>
    </row>
    <row r="28" customFormat="false" ht="15" hidden="false" customHeight="false" outlineLevel="0" collapsed="false">
      <c r="A28" s="21" t="s">
        <v>81</v>
      </c>
      <c r="B28" s="21" t="s">
        <v>33</v>
      </c>
      <c r="C28" s="21" t="s">
        <v>34</v>
      </c>
      <c r="D28" s="21" t="s">
        <v>93</v>
      </c>
      <c r="E28" s="21" t="s">
        <v>19</v>
      </c>
    </row>
    <row r="29" customFormat="false" ht="15" hidden="false" customHeight="false" outlineLevel="0" collapsed="false">
      <c r="A29" s="9" t="s">
        <v>83</v>
      </c>
      <c r="B29" s="22" t="n">
        <f aca="false">SUMIFS($D$5:$D$24,$C$5:$C$24,A29)</f>
        <v>295.6</v>
      </c>
      <c r="C29" s="23" t="n">
        <f aca="false">SUMIFS($E$5:$E$24,$C$5:$C$24,A29)</f>
        <v>107032</v>
      </c>
      <c r="D29" s="24" t="n">
        <f aca="false">IFERROR(C29/SUM($C$29:$C$32),0)</f>
        <v>0.891636121292902</v>
      </c>
      <c r="E29" s="23" t="n">
        <f aca="false">SUMIFS($G$5:$G$24,$C$5:$C$24,A29)</f>
        <v>165</v>
      </c>
    </row>
    <row r="30" customFormat="false" ht="15" hidden="false" customHeight="false" outlineLevel="0" collapsed="false">
      <c r="A30" s="9" t="s">
        <v>84</v>
      </c>
      <c r="B30" s="22" t="n">
        <f aca="false">SUMIFS($D$5:$D$24,$C$5:$C$24,A30)</f>
        <v>39.07</v>
      </c>
      <c r="C30" s="23" t="n">
        <f aca="false">SUMIFS($E$5:$E$24,$C$5:$C$24,A30)</f>
        <v>8474</v>
      </c>
      <c r="D30" s="24" t="n">
        <f aca="false">IFERROR(C30/SUM($C$29:$C$32),0)</f>
        <v>0.0705931356214595</v>
      </c>
      <c r="E30" s="23" t="n">
        <f aca="false">SUMIFS($G$5:$G$24,$C$5:$C$24,A30)</f>
        <v>268</v>
      </c>
    </row>
    <row r="31" customFormat="false" ht="15" hidden="false" customHeight="false" outlineLevel="0" collapsed="false">
      <c r="A31" s="9" t="s">
        <v>85</v>
      </c>
      <c r="B31" s="22" t="n">
        <f aca="false">SUMIFS($D$5:$D$24,$C$5:$C$24,A31)</f>
        <v>13.01</v>
      </c>
      <c r="C31" s="23" t="n">
        <f aca="false">SUMIFS($E$5:$E$24,$C$5:$C$24,A31)</f>
        <v>4519</v>
      </c>
      <c r="D31" s="24" t="n">
        <f aca="false">IFERROR(C31/SUM($C$29:$C$32),0)</f>
        <v>0.0376457847384205</v>
      </c>
      <c r="E31" s="23" t="n">
        <f aca="false">SUMIFS($G$5:$G$24,$C$5:$C$24,A31)</f>
        <v>88</v>
      </c>
    </row>
    <row r="32" customFormat="false" ht="15" hidden="false" customHeight="false" outlineLevel="0" collapsed="false">
      <c r="A32" s="9" t="s">
        <v>86</v>
      </c>
      <c r="B32" s="22" t="n">
        <f aca="false">SUMIFS($D$5:$D$24,$C$5:$C$24,A32)</f>
        <v>0.01</v>
      </c>
      <c r="C32" s="23" t="n">
        <f aca="false">SUMIFS($E$5:$E$24,$C$5:$C$24,A32)</f>
        <v>15</v>
      </c>
      <c r="D32" s="24" t="n">
        <f aca="false">IFERROR(C32/SUM($C$29:$C$32),0)</f>
        <v>0.000124958347217594</v>
      </c>
      <c r="E32" s="23" t="n">
        <f aca="false">SUMIFS($G$5:$G$24,$C$5:$C$24,A32)</f>
        <v>0</v>
      </c>
    </row>
  </sheetData>
  <autoFilter ref="A4:H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8"/>
    <col collapsed="false" customWidth="true" hidden="false" outlineLevel="0" max="4" min="4" style="0" width="18"/>
    <col collapsed="false" customWidth="true" hidden="false" outlineLevel="0" max="11" min="5" style="0" width="14"/>
  </cols>
  <sheetData>
    <row r="1" customFormat="false" ht="17.35" hidden="false" customHeight="false" outlineLevel="0" collapsed="false">
      <c r="A1" s="10" t="s">
        <v>94</v>
      </c>
    </row>
    <row r="2" customFormat="false" ht="15" hidden="false" customHeight="false" outlineLevel="0" collapsed="false">
      <c r="A2" s="2" t="s">
        <v>95</v>
      </c>
    </row>
    <row r="4" customFormat="false" ht="31.5" hidden="false" customHeight="true" outlineLevel="0" collapsed="false">
      <c r="A4" s="11" t="s">
        <v>51</v>
      </c>
      <c r="B4" s="11" t="s">
        <v>31</v>
      </c>
      <c r="C4" s="11" t="s">
        <v>70</v>
      </c>
      <c r="D4" s="11" t="s">
        <v>81</v>
      </c>
      <c r="E4" s="11" t="s">
        <v>33</v>
      </c>
      <c r="F4" s="11" t="s">
        <v>34</v>
      </c>
      <c r="G4" s="11" t="s">
        <v>35</v>
      </c>
      <c r="H4" s="11" t="s">
        <v>37</v>
      </c>
      <c r="I4" s="11" t="s">
        <v>19</v>
      </c>
      <c r="J4" s="11" t="s">
        <v>40</v>
      </c>
      <c r="K4" s="11" t="s">
        <v>96</v>
      </c>
    </row>
    <row r="5" customFormat="false" ht="15" hidden="false" customHeight="false" outlineLevel="0" collapsed="false">
      <c r="A5" s="4" t="s">
        <v>97</v>
      </c>
      <c r="B5" s="4" t="s">
        <v>43</v>
      </c>
      <c r="C5" s="4" t="s">
        <v>74</v>
      </c>
      <c r="D5" s="4" t="s">
        <v>83</v>
      </c>
      <c r="E5" s="12" t="n">
        <v>0.55</v>
      </c>
      <c r="F5" s="13" t="n">
        <v>95</v>
      </c>
      <c r="G5" s="13" t="n">
        <v>36</v>
      </c>
      <c r="H5" s="13" t="n">
        <v>0</v>
      </c>
      <c r="I5" s="13" t="n">
        <v>0</v>
      </c>
      <c r="J5" s="13" t="n">
        <v>95</v>
      </c>
      <c r="K5" s="4" t="s">
        <v>98</v>
      </c>
    </row>
    <row r="6" customFormat="false" ht="15" hidden="false" customHeight="false" outlineLevel="0" collapsed="false">
      <c r="A6" s="4" t="s">
        <v>97</v>
      </c>
      <c r="B6" s="4" t="s">
        <v>43</v>
      </c>
      <c r="C6" s="4" t="s">
        <v>74</v>
      </c>
      <c r="D6" s="4" t="s">
        <v>84</v>
      </c>
      <c r="E6" s="12" t="n">
        <v>0.68</v>
      </c>
      <c r="F6" s="13" t="n">
        <v>457</v>
      </c>
      <c r="G6" s="13" t="n">
        <v>433</v>
      </c>
      <c r="H6" s="13" t="n">
        <v>0</v>
      </c>
      <c r="I6" s="13" t="n">
        <v>0</v>
      </c>
      <c r="J6" s="13" t="n">
        <v>145</v>
      </c>
      <c r="K6" s="4" t="s">
        <v>98</v>
      </c>
    </row>
    <row r="7" customFormat="false" ht="15" hidden="false" customHeight="false" outlineLevel="0" collapsed="false">
      <c r="A7" s="4" t="s">
        <v>97</v>
      </c>
      <c r="B7" s="4" t="s">
        <v>43</v>
      </c>
      <c r="C7" s="4" t="s">
        <v>74</v>
      </c>
      <c r="D7" s="4" t="s">
        <v>85</v>
      </c>
      <c r="E7" s="12" t="n">
        <v>0.07</v>
      </c>
      <c r="F7" s="13" t="n">
        <v>47</v>
      </c>
      <c r="G7" s="13" t="n">
        <v>47</v>
      </c>
      <c r="H7" s="13" t="n">
        <v>0</v>
      </c>
      <c r="I7" s="13" t="n">
        <v>0</v>
      </c>
      <c r="J7" s="13" t="n">
        <v>15</v>
      </c>
      <c r="K7" s="4" t="s">
        <v>98</v>
      </c>
    </row>
    <row r="8" customFormat="false" ht="15" hidden="false" customHeight="false" outlineLevel="0" collapsed="false">
      <c r="A8" s="4" t="s">
        <v>99</v>
      </c>
      <c r="B8" s="4" t="s">
        <v>43</v>
      </c>
      <c r="C8" s="4" t="s">
        <v>74</v>
      </c>
      <c r="D8" s="4" t="s">
        <v>83</v>
      </c>
      <c r="E8" s="12" t="n">
        <v>5.94</v>
      </c>
      <c r="F8" s="13" t="n">
        <v>1285</v>
      </c>
      <c r="G8" s="13" t="n">
        <v>685</v>
      </c>
      <c r="H8" s="13" t="n">
        <v>1</v>
      </c>
      <c r="I8" s="13" t="n">
        <v>1</v>
      </c>
      <c r="J8" s="13" t="n">
        <v>1272</v>
      </c>
      <c r="K8" s="4" t="s">
        <v>98</v>
      </c>
    </row>
    <row r="9" customFormat="false" ht="15" hidden="false" customHeight="false" outlineLevel="0" collapsed="false">
      <c r="A9" s="4" t="s">
        <v>99</v>
      </c>
      <c r="B9" s="4" t="s">
        <v>43</v>
      </c>
      <c r="C9" s="4" t="s">
        <v>74</v>
      </c>
      <c r="D9" s="4" t="s">
        <v>84</v>
      </c>
      <c r="E9" s="12" t="n">
        <v>1.06</v>
      </c>
      <c r="F9" s="13" t="n">
        <v>592</v>
      </c>
      <c r="G9" s="13" t="n">
        <v>544</v>
      </c>
      <c r="H9" s="13" t="n">
        <v>5</v>
      </c>
      <c r="I9" s="13" t="n">
        <v>3</v>
      </c>
      <c r="J9" s="13" t="n">
        <v>212</v>
      </c>
      <c r="K9" s="4" t="s">
        <v>98</v>
      </c>
    </row>
    <row r="10" customFormat="false" ht="15" hidden="false" customHeight="false" outlineLevel="0" collapsed="false">
      <c r="A10" s="4" t="s">
        <v>99</v>
      </c>
      <c r="B10" s="4" t="s">
        <v>43</v>
      </c>
      <c r="C10" s="4" t="s">
        <v>74</v>
      </c>
      <c r="D10" s="4" t="s">
        <v>85</v>
      </c>
      <c r="E10" s="12" t="n">
        <v>0.04</v>
      </c>
      <c r="F10" s="13" t="n">
        <v>27</v>
      </c>
      <c r="G10" s="13" t="n">
        <v>27</v>
      </c>
      <c r="H10" s="13" t="n">
        <v>0</v>
      </c>
      <c r="I10" s="13" t="n">
        <v>0</v>
      </c>
      <c r="J10" s="13" t="n">
        <v>9</v>
      </c>
      <c r="K10" s="4" t="s">
        <v>98</v>
      </c>
    </row>
    <row r="11" customFormat="false" ht="15" hidden="false" customHeight="false" outlineLevel="0" collapsed="false">
      <c r="A11" s="4" t="s">
        <v>99</v>
      </c>
      <c r="B11" s="4" t="s">
        <v>43</v>
      </c>
      <c r="C11" s="4" t="s">
        <v>74</v>
      </c>
      <c r="D11" s="4" t="s">
        <v>86</v>
      </c>
      <c r="E11" s="12" t="n">
        <v>0</v>
      </c>
      <c r="F11" s="13" t="n">
        <v>1</v>
      </c>
      <c r="G11" s="13" t="n">
        <v>1</v>
      </c>
      <c r="H11" s="13" t="n">
        <v>0</v>
      </c>
      <c r="I11" s="13" t="n">
        <v>0</v>
      </c>
      <c r="J11" s="13" t="n">
        <v>1</v>
      </c>
      <c r="K11" s="4" t="s">
        <v>98</v>
      </c>
    </row>
    <row r="12" customFormat="false" ht="15" hidden="false" customHeight="false" outlineLevel="0" collapsed="false">
      <c r="A12" s="4" t="s">
        <v>100</v>
      </c>
      <c r="B12" s="4" t="s">
        <v>43</v>
      </c>
      <c r="C12" s="4" t="s">
        <v>74</v>
      </c>
      <c r="D12" s="4" t="s">
        <v>83</v>
      </c>
      <c r="E12" s="12" t="n">
        <v>5.52</v>
      </c>
      <c r="F12" s="13" t="n">
        <v>1318</v>
      </c>
      <c r="G12" s="13" t="n">
        <v>660</v>
      </c>
      <c r="H12" s="13" t="n">
        <v>3</v>
      </c>
      <c r="I12" s="13" t="n">
        <v>3</v>
      </c>
      <c r="J12" s="13" t="n">
        <v>1310</v>
      </c>
      <c r="K12" s="4" t="s">
        <v>98</v>
      </c>
    </row>
    <row r="13" customFormat="false" ht="15" hidden="false" customHeight="false" outlineLevel="0" collapsed="false">
      <c r="A13" s="4" t="s">
        <v>100</v>
      </c>
      <c r="B13" s="4" t="s">
        <v>43</v>
      </c>
      <c r="C13" s="4" t="s">
        <v>74</v>
      </c>
      <c r="D13" s="4" t="s">
        <v>84</v>
      </c>
      <c r="E13" s="12" t="n">
        <v>0</v>
      </c>
      <c r="F13" s="13" t="n">
        <v>4</v>
      </c>
      <c r="G13" s="13" t="n">
        <v>4</v>
      </c>
      <c r="H13" s="13" t="n">
        <v>0</v>
      </c>
      <c r="I13" s="13" t="n">
        <v>0</v>
      </c>
      <c r="J13" s="13" t="n">
        <v>3</v>
      </c>
      <c r="K13" s="4" t="s">
        <v>98</v>
      </c>
    </row>
    <row r="14" customFormat="false" ht="15" hidden="false" customHeight="false" outlineLevel="0" collapsed="false">
      <c r="A14" s="4" t="s">
        <v>101</v>
      </c>
      <c r="B14" s="4" t="s">
        <v>43</v>
      </c>
      <c r="C14" s="4" t="s">
        <v>74</v>
      </c>
      <c r="D14" s="4" t="s">
        <v>83</v>
      </c>
      <c r="E14" s="12" t="n">
        <v>7.03</v>
      </c>
      <c r="F14" s="13" t="n">
        <v>1497</v>
      </c>
      <c r="G14" s="13" t="n">
        <v>697</v>
      </c>
      <c r="H14" s="13" t="n">
        <v>6</v>
      </c>
      <c r="I14" s="13" t="n">
        <v>7</v>
      </c>
      <c r="J14" s="13" t="n">
        <v>1493</v>
      </c>
      <c r="K14" s="4" t="s">
        <v>98</v>
      </c>
    </row>
    <row r="15" customFormat="false" ht="15" hidden="false" customHeight="false" outlineLevel="0" collapsed="false">
      <c r="A15" s="4" t="s">
        <v>101</v>
      </c>
      <c r="B15" s="4" t="s">
        <v>43</v>
      </c>
      <c r="C15" s="4" t="s">
        <v>74</v>
      </c>
      <c r="D15" s="4" t="s">
        <v>84</v>
      </c>
      <c r="E15" s="12" t="n">
        <v>0</v>
      </c>
      <c r="F15" s="13" t="n">
        <v>5</v>
      </c>
      <c r="G15" s="13" t="n">
        <v>5</v>
      </c>
      <c r="H15" s="13" t="n">
        <v>0</v>
      </c>
      <c r="I15" s="13" t="n">
        <v>0</v>
      </c>
      <c r="J15" s="13" t="n">
        <v>2</v>
      </c>
      <c r="K15" s="4" t="s">
        <v>98</v>
      </c>
    </row>
    <row r="16" customFormat="false" ht="15" hidden="false" customHeight="false" outlineLevel="0" collapsed="false">
      <c r="A16" s="4" t="s">
        <v>102</v>
      </c>
      <c r="B16" s="4" t="s">
        <v>43</v>
      </c>
      <c r="C16" s="4" t="s">
        <v>74</v>
      </c>
      <c r="D16" s="4" t="s">
        <v>83</v>
      </c>
      <c r="E16" s="12" t="n">
        <v>7.83</v>
      </c>
      <c r="F16" s="13" t="n">
        <v>2077</v>
      </c>
      <c r="G16" s="13" t="n">
        <v>887</v>
      </c>
      <c r="H16" s="13" t="n">
        <v>5</v>
      </c>
      <c r="I16" s="13" t="n">
        <v>5</v>
      </c>
      <c r="J16" s="13" t="n">
        <v>2071</v>
      </c>
      <c r="K16" s="4" t="s">
        <v>98</v>
      </c>
    </row>
    <row r="17" customFormat="false" ht="15" hidden="false" customHeight="false" outlineLevel="0" collapsed="false">
      <c r="A17" s="4" t="s">
        <v>102</v>
      </c>
      <c r="B17" s="4" t="s">
        <v>43</v>
      </c>
      <c r="C17" s="4" t="s">
        <v>74</v>
      </c>
      <c r="D17" s="4" t="s">
        <v>84</v>
      </c>
      <c r="E17" s="12" t="n">
        <v>0</v>
      </c>
      <c r="F17" s="13" t="n">
        <v>5</v>
      </c>
      <c r="G17" s="13" t="n">
        <v>5</v>
      </c>
      <c r="H17" s="13" t="n">
        <v>0</v>
      </c>
      <c r="I17" s="13" t="n">
        <v>0</v>
      </c>
      <c r="J17" s="13" t="n">
        <v>3</v>
      </c>
      <c r="K17" s="4" t="s">
        <v>98</v>
      </c>
    </row>
    <row r="18" customFormat="false" ht="15" hidden="false" customHeight="false" outlineLevel="0" collapsed="false">
      <c r="A18" s="4" t="s">
        <v>103</v>
      </c>
      <c r="B18" s="4" t="s">
        <v>43</v>
      </c>
      <c r="C18" s="4" t="s">
        <v>74</v>
      </c>
      <c r="D18" s="4" t="s">
        <v>83</v>
      </c>
      <c r="E18" s="12" t="n">
        <v>7.54</v>
      </c>
      <c r="F18" s="13" t="n">
        <v>2512</v>
      </c>
      <c r="G18" s="13" t="n">
        <v>961</v>
      </c>
      <c r="H18" s="13" t="n">
        <v>4</v>
      </c>
      <c r="I18" s="13" t="n">
        <v>4</v>
      </c>
      <c r="J18" s="13" t="n">
        <v>2500</v>
      </c>
      <c r="K18" s="4" t="s">
        <v>98</v>
      </c>
    </row>
    <row r="19" customFormat="false" ht="15" hidden="false" customHeight="false" outlineLevel="0" collapsed="false">
      <c r="A19" s="4" t="s">
        <v>103</v>
      </c>
      <c r="B19" s="4" t="s">
        <v>43</v>
      </c>
      <c r="C19" s="4" t="s">
        <v>74</v>
      </c>
      <c r="D19" s="4" t="s">
        <v>84</v>
      </c>
      <c r="E19" s="12" t="n">
        <v>0.01</v>
      </c>
      <c r="F19" s="13" t="n">
        <v>5</v>
      </c>
      <c r="G19" s="13" t="n">
        <v>5</v>
      </c>
      <c r="H19" s="13" t="n">
        <v>0</v>
      </c>
      <c r="I19" s="13" t="n">
        <v>0</v>
      </c>
      <c r="J19" s="13" t="n">
        <v>3</v>
      </c>
      <c r="K19" s="4" t="s">
        <v>98</v>
      </c>
    </row>
    <row r="20" customFormat="false" ht="15" hidden="false" customHeight="false" outlineLevel="0" collapsed="false">
      <c r="A20" s="4" t="s">
        <v>104</v>
      </c>
      <c r="B20" s="4" t="s">
        <v>43</v>
      </c>
      <c r="C20" s="4" t="s">
        <v>74</v>
      </c>
      <c r="D20" s="4" t="s">
        <v>83</v>
      </c>
      <c r="E20" s="12" t="n">
        <v>5.29</v>
      </c>
      <c r="F20" s="13" t="n">
        <v>1845</v>
      </c>
      <c r="G20" s="13" t="n">
        <v>736</v>
      </c>
      <c r="H20" s="13" t="n">
        <v>4</v>
      </c>
      <c r="I20" s="13" t="n">
        <v>4</v>
      </c>
      <c r="J20" s="13" t="n">
        <v>1831</v>
      </c>
      <c r="K20" s="4" t="s">
        <v>98</v>
      </c>
    </row>
    <row r="21" customFormat="false" ht="15" hidden="false" customHeight="false" outlineLevel="0" collapsed="false">
      <c r="A21" s="4" t="s">
        <v>104</v>
      </c>
      <c r="B21" s="4" t="s">
        <v>43</v>
      </c>
      <c r="C21" s="4" t="s">
        <v>74</v>
      </c>
      <c r="D21" s="4" t="s">
        <v>84</v>
      </c>
      <c r="E21" s="12" t="n">
        <v>0.01</v>
      </c>
      <c r="F21" s="13" t="n">
        <v>1</v>
      </c>
      <c r="G21" s="13" t="n">
        <v>1</v>
      </c>
      <c r="H21" s="13" t="n">
        <v>0</v>
      </c>
      <c r="I21" s="13" t="n">
        <v>0</v>
      </c>
      <c r="J21" s="13" t="n">
        <v>1</v>
      </c>
      <c r="K21" s="4" t="s">
        <v>98</v>
      </c>
    </row>
    <row r="22" customFormat="false" ht="15" hidden="false" customHeight="false" outlineLevel="0" collapsed="false">
      <c r="A22" s="4" t="s">
        <v>104</v>
      </c>
      <c r="B22" s="4" t="s">
        <v>43</v>
      </c>
      <c r="C22" s="4" t="s">
        <v>74</v>
      </c>
      <c r="D22" s="4" t="s">
        <v>85</v>
      </c>
      <c r="E22" s="12" t="n">
        <v>0</v>
      </c>
      <c r="F22" s="13" t="n">
        <v>1</v>
      </c>
      <c r="G22" s="13" t="n">
        <v>1</v>
      </c>
      <c r="H22" s="13" t="n">
        <v>0</v>
      </c>
      <c r="I22" s="13" t="n">
        <v>0</v>
      </c>
      <c r="J22" s="13" t="n">
        <v>1</v>
      </c>
      <c r="K22" s="4" t="s">
        <v>98</v>
      </c>
    </row>
    <row r="23" customFormat="false" ht="15" hidden="false" customHeight="false" outlineLevel="0" collapsed="false">
      <c r="A23" s="4" t="s">
        <v>105</v>
      </c>
      <c r="B23" s="4" t="s">
        <v>43</v>
      </c>
      <c r="C23" s="4" t="s">
        <v>74</v>
      </c>
      <c r="D23" s="4" t="s">
        <v>83</v>
      </c>
      <c r="E23" s="12" t="n">
        <v>6.11</v>
      </c>
      <c r="F23" s="13" t="n">
        <v>2199</v>
      </c>
      <c r="G23" s="13" t="n">
        <v>819</v>
      </c>
      <c r="H23" s="13" t="n">
        <v>4</v>
      </c>
      <c r="I23" s="13" t="n">
        <v>5</v>
      </c>
      <c r="J23" s="13" t="n">
        <v>2186</v>
      </c>
      <c r="K23" s="4" t="s">
        <v>98</v>
      </c>
    </row>
    <row r="24" customFormat="false" ht="15" hidden="false" customHeight="false" outlineLevel="0" collapsed="false">
      <c r="A24" s="4" t="s">
        <v>106</v>
      </c>
      <c r="B24" s="4" t="s">
        <v>43</v>
      </c>
      <c r="C24" s="4" t="s">
        <v>74</v>
      </c>
      <c r="D24" s="4" t="s">
        <v>83</v>
      </c>
      <c r="E24" s="12" t="n">
        <v>4.7</v>
      </c>
      <c r="F24" s="13" t="n">
        <v>1616</v>
      </c>
      <c r="G24" s="13" t="n">
        <v>651</v>
      </c>
      <c r="H24" s="13" t="n">
        <v>5</v>
      </c>
      <c r="I24" s="13" t="n">
        <v>5</v>
      </c>
      <c r="J24" s="13" t="n">
        <v>1609</v>
      </c>
      <c r="K24" s="4" t="s">
        <v>98</v>
      </c>
    </row>
    <row r="25" customFormat="false" ht="15" hidden="false" customHeight="false" outlineLevel="0" collapsed="false">
      <c r="A25" s="4" t="s">
        <v>107</v>
      </c>
      <c r="B25" s="4" t="s">
        <v>43</v>
      </c>
      <c r="C25" s="4" t="s">
        <v>74</v>
      </c>
      <c r="D25" s="4" t="s">
        <v>83</v>
      </c>
      <c r="E25" s="12" t="n">
        <v>6.68</v>
      </c>
      <c r="F25" s="13" t="n">
        <v>2743</v>
      </c>
      <c r="G25" s="13" t="n">
        <v>1010</v>
      </c>
      <c r="H25" s="13" t="n">
        <v>9</v>
      </c>
      <c r="I25" s="13" t="n">
        <v>9</v>
      </c>
      <c r="J25" s="13" t="n">
        <v>2729</v>
      </c>
      <c r="K25" s="4" t="s">
        <v>98</v>
      </c>
    </row>
    <row r="26" customFormat="false" ht="15" hidden="false" customHeight="false" outlineLevel="0" collapsed="false">
      <c r="A26" s="4" t="s">
        <v>107</v>
      </c>
      <c r="B26" s="4" t="s">
        <v>43</v>
      </c>
      <c r="C26" s="4" t="s">
        <v>74</v>
      </c>
      <c r="D26" s="4" t="s">
        <v>84</v>
      </c>
      <c r="E26" s="12" t="n">
        <v>0</v>
      </c>
      <c r="F26" s="13" t="n">
        <v>1</v>
      </c>
      <c r="G26" s="13" t="n">
        <v>1</v>
      </c>
      <c r="H26" s="13" t="n">
        <v>0</v>
      </c>
      <c r="I26" s="13" t="n">
        <v>0</v>
      </c>
      <c r="J26" s="13" t="n">
        <v>1</v>
      </c>
      <c r="K26" s="4" t="s">
        <v>98</v>
      </c>
    </row>
    <row r="27" customFormat="false" ht="15" hidden="false" customHeight="false" outlineLevel="0" collapsed="false">
      <c r="A27" s="4" t="s">
        <v>108</v>
      </c>
      <c r="B27" s="4" t="s">
        <v>43</v>
      </c>
      <c r="C27" s="4" t="s">
        <v>74</v>
      </c>
      <c r="D27" s="4" t="s">
        <v>83</v>
      </c>
      <c r="E27" s="12" t="n">
        <v>5.5</v>
      </c>
      <c r="F27" s="13" t="n">
        <v>2038</v>
      </c>
      <c r="G27" s="13" t="n">
        <v>707</v>
      </c>
      <c r="H27" s="13" t="n">
        <v>0</v>
      </c>
      <c r="I27" s="13" t="n">
        <v>0</v>
      </c>
      <c r="J27" s="13" t="n">
        <v>2029</v>
      </c>
      <c r="K27" s="4" t="s">
        <v>98</v>
      </c>
    </row>
    <row r="28" customFormat="false" ht="15" hidden="false" customHeight="false" outlineLevel="0" collapsed="false">
      <c r="A28" s="4" t="s">
        <v>109</v>
      </c>
      <c r="B28" s="4" t="s">
        <v>43</v>
      </c>
      <c r="C28" s="4" t="s">
        <v>74</v>
      </c>
      <c r="D28" s="4" t="s">
        <v>83</v>
      </c>
      <c r="E28" s="12" t="n">
        <v>5.93</v>
      </c>
      <c r="F28" s="13" t="n">
        <v>2733</v>
      </c>
      <c r="G28" s="13" t="n">
        <v>1096</v>
      </c>
      <c r="H28" s="13" t="n">
        <v>7</v>
      </c>
      <c r="I28" s="13" t="n">
        <v>7</v>
      </c>
      <c r="J28" s="13" t="n">
        <v>2720</v>
      </c>
      <c r="K28" s="4" t="s">
        <v>98</v>
      </c>
    </row>
    <row r="29" customFormat="false" ht="15" hidden="false" customHeight="false" outlineLevel="0" collapsed="false">
      <c r="A29" s="4" t="s">
        <v>109</v>
      </c>
      <c r="B29" s="4" t="s">
        <v>43</v>
      </c>
      <c r="C29" s="4" t="s">
        <v>74</v>
      </c>
      <c r="D29" s="4" t="s">
        <v>84</v>
      </c>
      <c r="E29" s="12" t="n">
        <v>0</v>
      </c>
      <c r="F29" s="13" t="n">
        <v>1</v>
      </c>
      <c r="G29" s="13" t="n">
        <v>1</v>
      </c>
      <c r="H29" s="13" t="n">
        <v>0</v>
      </c>
      <c r="I29" s="13" t="n">
        <v>0</v>
      </c>
      <c r="J29" s="13" t="n">
        <v>0</v>
      </c>
      <c r="K29" s="4" t="s">
        <v>98</v>
      </c>
    </row>
    <row r="30" customFormat="false" ht="15" hidden="false" customHeight="false" outlineLevel="0" collapsed="false">
      <c r="A30" s="4" t="s">
        <v>110</v>
      </c>
      <c r="B30" s="4" t="s">
        <v>43</v>
      </c>
      <c r="C30" s="4" t="s">
        <v>74</v>
      </c>
      <c r="D30" s="4" t="s">
        <v>83</v>
      </c>
      <c r="E30" s="12" t="n">
        <v>5.31</v>
      </c>
      <c r="F30" s="13" t="n">
        <v>2619</v>
      </c>
      <c r="G30" s="13" t="n">
        <v>953</v>
      </c>
      <c r="H30" s="13" t="n">
        <v>3</v>
      </c>
      <c r="I30" s="13" t="n">
        <v>3</v>
      </c>
      <c r="J30" s="13" t="n">
        <v>2593</v>
      </c>
      <c r="K30" s="4" t="s">
        <v>98</v>
      </c>
    </row>
    <row r="31" customFormat="false" ht="15" hidden="false" customHeight="false" outlineLevel="0" collapsed="false">
      <c r="A31" s="4" t="s">
        <v>111</v>
      </c>
      <c r="B31" s="4" t="s">
        <v>43</v>
      </c>
      <c r="C31" s="4" t="s">
        <v>74</v>
      </c>
      <c r="D31" s="4" t="s">
        <v>83</v>
      </c>
      <c r="E31" s="12" t="n">
        <v>4.96</v>
      </c>
      <c r="F31" s="13" t="n">
        <v>2409</v>
      </c>
      <c r="G31" s="13" t="n">
        <v>831</v>
      </c>
      <c r="H31" s="13" t="n">
        <v>5</v>
      </c>
      <c r="I31" s="13" t="n">
        <v>5</v>
      </c>
      <c r="J31" s="13" t="n">
        <v>2387</v>
      </c>
      <c r="K31" s="4" t="s">
        <v>98</v>
      </c>
    </row>
    <row r="32" customFormat="false" ht="15" hidden="false" customHeight="false" outlineLevel="0" collapsed="false">
      <c r="A32" s="4" t="s">
        <v>111</v>
      </c>
      <c r="B32" s="4" t="s">
        <v>43</v>
      </c>
      <c r="C32" s="4" t="s">
        <v>74</v>
      </c>
      <c r="D32" s="4" t="s">
        <v>84</v>
      </c>
      <c r="E32" s="12" t="n">
        <v>0</v>
      </c>
      <c r="F32" s="13" t="n">
        <v>1</v>
      </c>
      <c r="G32" s="13" t="n">
        <v>1</v>
      </c>
      <c r="H32" s="13" t="n">
        <v>0</v>
      </c>
      <c r="I32" s="13" t="n">
        <v>0</v>
      </c>
      <c r="J32" s="13" t="n">
        <v>0</v>
      </c>
      <c r="K32" s="4" t="s">
        <v>98</v>
      </c>
    </row>
    <row r="33" customFormat="false" ht="15" hidden="false" customHeight="false" outlineLevel="0" collapsed="false">
      <c r="A33" s="4" t="s">
        <v>112</v>
      </c>
      <c r="B33" s="4" t="s">
        <v>43</v>
      </c>
      <c r="C33" s="4" t="s">
        <v>74</v>
      </c>
      <c r="D33" s="4" t="s">
        <v>83</v>
      </c>
      <c r="E33" s="12" t="n">
        <v>5.24</v>
      </c>
      <c r="F33" s="13" t="n">
        <v>2583</v>
      </c>
      <c r="G33" s="13" t="n">
        <v>912</v>
      </c>
      <c r="H33" s="13" t="n">
        <v>5</v>
      </c>
      <c r="I33" s="13" t="n">
        <v>5</v>
      </c>
      <c r="J33" s="13" t="n">
        <v>2550</v>
      </c>
      <c r="K33" s="4" t="s">
        <v>98</v>
      </c>
    </row>
    <row r="34" customFormat="false" ht="15" hidden="false" customHeight="false" outlineLevel="0" collapsed="false">
      <c r="A34" s="4" t="s">
        <v>113</v>
      </c>
      <c r="B34" s="4" t="s">
        <v>43</v>
      </c>
      <c r="C34" s="4" t="s">
        <v>74</v>
      </c>
      <c r="D34" s="4" t="s">
        <v>83</v>
      </c>
      <c r="E34" s="12" t="n">
        <v>6.51</v>
      </c>
      <c r="F34" s="13" t="n">
        <v>2541</v>
      </c>
      <c r="G34" s="13" t="n">
        <v>881</v>
      </c>
      <c r="H34" s="13" t="n">
        <v>3</v>
      </c>
      <c r="I34" s="13" t="n">
        <v>3</v>
      </c>
      <c r="J34" s="13" t="n">
        <v>2499</v>
      </c>
      <c r="K34" s="4" t="s">
        <v>98</v>
      </c>
    </row>
    <row r="35" customFormat="false" ht="15" hidden="false" customHeight="false" outlineLevel="0" collapsed="false">
      <c r="A35" s="4" t="s">
        <v>114</v>
      </c>
      <c r="B35" s="4" t="s">
        <v>43</v>
      </c>
      <c r="C35" s="4" t="s">
        <v>74</v>
      </c>
      <c r="D35" s="4" t="s">
        <v>83</v>
      </c>
      <c r="E35" s="12" t="n">
        <v>6.14</v>
      </c>
      <c r="F35" s="13" t="n">
        <v>3163</v>
      </c>
      <c r="G35" s="13" t="n">
        <v>1079</v>
      </c>
      <c r="H35" s="13" t="n">
        <v>7</v>
      </c>
      <c r="I35" s="13" t="n">
        <v>7</v>
      </c>
      <c r="J35" s="13" t="n">
        <v>3145</v>
      </c>
      <c r="K35" s="4" t="s">
        <v>98</v>
      </c>
    </row>
    <row r="36" customFormat="false" ht="15" hidden="false" customHeight="false" outlineLevel="0" collapsed="false">
      <c r="A36" s="4" t="s">
        <v>115</v>
      </c>
      <c r="B36" s="4" t="s">
        <v>43</v>
      </c>
      <c r="C36" s="4" t="s">
        <v>74</v>
      </c>
      <c r="D36" s="4" t="s">
        <v>83</v>
      </c>
      <c r="E36" s="12" t="n">
        <v>5.11</v>
      </c>
      <c r="F36" s="13" t="n">
        <v>2323</v>
      </c>
      <c r="G36" s="13" t="n">
        <v>889</v>
      </c>
      <c r="H36" s="13" t="n">
        <v>5</v>
      </c>
      <c r="I36" s="13" t="n">
        <v>5</v>
      </c>
      <c r="J36" s="13" t="n">
        <v>2293</v>
      </c>
      <c r="K36" s="4" t="s">
        <v>98</v>
      </c>
    </row>
    <row r="37" customFormat="false" ht="15" hidden="false" customHeight="false" outlineLevel="0" collapsed="false">
      <c r="A37" s="4" t="s">
        <v>116</v>
      </c>
      <c r="B37" s="4" t="s">
        <v>43</v>
      </c>
      <c r="C37" s="4" t="s">
        <v>74</v>
      </c>
      <c r="D37" s="4" t="s">
        <v>83</v>
      </c>
      <c r="E37" s="12" t="n">
        <v>5.93</v>
      </c>
      <c r="F37" s="13" t="n">
        <v>2936</v>
      </c>
      <c r="G37" s="13" t="n">
        <v>1074</v>
      </c>
      <c r="H37" s="13" t="n">
        <v>5</v>
      </c>
      <c r="I37" s="13" t="n">
        <v>5</v>
      </c>
      <c r="J37" s="13" t="n">
        <v>2904</v>
      </c>
      <c r="K37" s="4" t="s">
        <v>98</v>
      </c>
    </row>
    <row r="38" customFormat="false" ht="15" hidden="false" customHeight="false" outlineLevel="0" collapsed="false">
      <c r="A38" s="4" t="s">
        <v>117</v>
      </c>
      <c r="B38" s="4" t="s">
        <v>43</v>
      </c>
      <c r="C38" s="4" t="s">
        <v>74</v>
      </c>
      <c r="D38" s="4" t="s">
        <v>83</v>
      </c>
      <c r="E38" s="12" t="n">
        <v>3.18</v>
      </c>
      <c r="F38" s="13" t="n">
        <v>2142</v>
      </c>
      <c r="G38" s="13" t="n">
        <v>854</v>
      </c>
      <c r="H38" s="13" t="n">
        <v>9</v>
      </c>
      <c r="I38" s="13" t="n">
        <v>9</v>
      </c>
      <c r="J38" s="13" t="n">
        <v>2114</v>
      </c>
      <c r="K38" s="4" t="s">
        <v>98</v>
      </c>
    </row>
    <row r="39" customFormat="false" ht="15" hidden="false" customHeight="false" outlineLevel="0" collapsed="false">
      <c r="A39" s="4" t="s">
        <v>118</v>
      </c>
      <c r="B39" s="4" t="s">
        <v>43</v>
      </c>
      <c r="C39" s="4" t="s">
        <v>74</v>
      </c>
      <c r="D39" s="4" t="s">
        <v>83</v>
      </c>
      <c r="E39" s="12" t="n">
        <v>4.52</v>
      </c>
      <c r="F39" s="13" t="n">
        <v>1957</v>
      </c>
      <c r="G39" s="13" t="n">
        <v>726</v>
      </c>
      <c r="H39" s="13" t="n">
        <v>5</v>
      </c>
      <c r="I39" s="13" t="n">
        <v>5</v>
      </c>
      <c r="J39" s="13" t="n">
        <v>1946</v>
      </c>
      <c r="K39" s="4" t="s">
        <v>98</v>
      </c>
    </row>
    <row r="40" customFormat="false" ht="15" hidden="false" customHeight="false" outlineLevel="0" collapsed="false">
      <c r="A40" s="4" t="s">
        <v>119</v>
      </c>
      <c r="B40" s="4" t="s">
        <v>43</v>
      </c>
      <c r="C40" s="4" t="s">
        <v>74</v>
      </c>
      <c r="D40" s="4" t="s">
        <v>83</v>
      </c>
      <c r="E40" s="12" t="n">
        <v>3.16</v>
      </c>
      <c r="F40" s="13" t="n">
        <v>1389</v>
      </c>
      <c r="G40" s="13" t="n">
        <v>513</v>
      </c>
      <c r="H40" s="13" t="n">
        <v>5</v>
      </c>
      <c r="I40" s="13" t="n">
        <v>6</v>
      </c>
      <c r="J40" s="13" t="n">
        <v>1377</v>
      </c>
      <c r="K40" s="4" t="s">
        <v>98</v>
      </c>
    </row>
    <row r="41" customFormat="false" ht="15" hidden="false" customHeight="false" outlineLevel="0" collapsed="false">
      <c r="A41" s="4" t="s">
        <v>120</v>
      </c>
      <c r="B41" s="4" t="s">
        <v>43</v>
      </c>
      <c r="C41" s="4" t="s">
        <v>74</v>
      </c>
      <c r="D41" s="4" t="s">
        <v>83</v>
      </c>
      <c r="E41" s="12" t="n">
        <v>3.49</v>
      </c>
      <c r="F41" s="13" t="n">
        <v>1485</v>
      </c>
      <c r="G41" s="13" t="n">
        <v>559</v>
      </c>
      <c r="H41" s="13" t="n">
        <v>3</v>
      </c>
      <c r="I41" s="13" t="n">
        <v>3</v>
      </c>
      <c r="J41" s="13" t="n">
        <v>1476</v>
      </c>
      <c r="K41" s="4" t="s">
        <v>98</v>
      </c>
    </row>
    <row r="42" customFormat="false" ht="15" hidden="false" customHeight="false" outlineLevel="0" collapsed="false">
      <c r="A42" s="4" t="s">
        <v>121</v>
      </c>
      <c r="B42" s="4" t="s">
        <v>43</v>
      </c>
      <c r="C42" s="4" t="s">
        <v>74</v>
      </c>
      <c r="D42" s="4" t="s">
        <v>83</v>
      </c>
      <c r="E42" s="12" t="n">
        <v>3.72</v>
      </c>
      <c r="F42" s="13" t="n">
        <v>1711</v>
      </c>
      <c r="G42" s="13" t="n">
        <v>597</v>
      </c>
      <c r="H42" s="13" t="n">
        <v>6</v>
      </c>
      <c r="I42" s="13" t="n">
        <v>6</v>
      </c>
      <c r="J42" s="13" t="n">
        <v>1694</v>
      </c>
      <c r="K42" s="4" t="s">
        <v>98</v>
      </c>
    </row>
    <row r="43" customFormat="false" ht="15" hidden="false" customHeight="false" outlineLevel="0" collapsed="false">
      <c r="A43" s="4" t="s">
        <v>122</v>
      </c>
      <c r="B43" s="4" t="s">
        <v>43</v>
      </c>
      <c r="C43" s="4" t="s">
        <v>74</v>
      </c>
      <c r="D43" s="4" t="s">
        <v>83</v>
      </c>
      <c r="E43" s="12" t="n">
        <v>3.65</v>
      </c>
      <c r="F43" s="13" t="n">
        <v>1566</v>
      </c>
      <c r="G43" s="13" t="n">
        <v>567</v>
      </c>
      <c r="H43" s="13" t="n">
        <v>4</v>
      </c>
      <c r="I43" s="13" t="n">
        <v>4</v>
      </c>
      <c r="J43" s="13" t="n">
        <v>1558</v>
      </c>
      <c r="K43" s="4" t="s">
        <v>98</v>
      </c>
    </row>
    <row r="44" customFormat="false" ht="15" hidden="false" customHeight="false" outlineLevel="0" collapsed="false">
      <c r="A44" s="4" t="s">
        <v>123</v>
      </c>
      <c r="B44" s="4" t="s">
        <v>43</v>
      </c>
      <c r="C44" s="4" t="s">
        <v>74</v>
      </c>
      <c r="D44" s="4" t="s">
        <v>83</v>
      </c>
      <c r="E44" s="12" t="n">
        <v>3.44</v>
      </c>
      <c r="F44" s="13" t="n">
        <v>1352</v>
      </c>
      <c r="G44" s="13" t="n">
        <v>571</v>
      </c>
      <c r="H44" s="13" t="n">
        <v>5</v>
      </c>
      <c r="I44" s="13" t="n">
        <v>5</v>
      </c>
      <c r="J44" s="13" t="n">
        <v>1342</v>
      </c>
      <c r="K44" s="4" t="s">
        <v>98</v>
      </c>
    </row>
    <row r="45" customFormat="false" ht="15" hidden="false" customHeight="false" outlineLevel="0" collapsed="false">
      <c r="A45" s="4" t="s">
        <v>124</v>
      </c>
      <c r="B45" s="4" t="s">
        <v>43</v>
      </c>
      <c r="C45" s="4" t="s">
        <v>74</v>
      </c>
      <c r="D45" s="4" t="s">
        <v>83</v>
      </c>
      <c r="E45" s="12" t="n">
        <v>3.29</v>
      </c>
      <c r="F45" s="13" t="n">
        <v>980</v>
      </c>
      <c r="G45" s="13" t="n">
        <v>337</v>
      </c>
      <c r="H45" s="13" t="n">
        <v>1</v>
      </c>
      <c r="I45" s="13" t="n">
        <v>1</v>
      </c>
      <c r="J45" s="13" t="n">
        <v>966</v>
      </c>
      <c r="K45" s="4" t="s">
        <v>98</v>
      </c>
    </row>
    <row r="46" customFormat="false" ht="15" hidden="false" customHeight="false" outlineLevel="0" collapsed="false">
      <c r="A46" s="4" t="s">
        <v>124</v>
      </c>
      <c r="B46" s="4" t="s">
        <v>43</v>
      </c>
      <c r="C46" s="4" t="s">
        <v>74</v>
      </c>
      <c r="D46" s="4" t="s">
        <v>84</v>
      </c>
      <c r="E46" s="12" t="n">
        <v>0</v>
      </c>
      <c r="F46" s="13" t="n">
        <v>4</v>
      </c>
      <c r="G46" s="13" t="n">
        <v>3</v>
      </c>
      <c r="H46" s="13" t="n">
        <v>0</v>
      </c>
      <c r="I46" s="13" t="n">
        <v>0</v>
      </c>
      <c r="J46" s="13" t="n">
        <v>1</v>
      </c>
      <c r="K46" s="4" t="s">
        <v>98</v>
      </c>
    </row>
    <row r="47" customFormat="false" ht="15" hidden="false" customHeight="false" outlineLevel="0" collapsed="false">
      <c r="A47" s="4" t="s">
        <v>125</v>
      </c>
      <c r="B47" s="4" t="s">
        <v>43</v>
      </c>
      <c r="C47" s="4" t="s">
        <v>74</v>
      </c>
      <c r="D47" s="4" t="s">
        <v>83</v>
      </c>
      <c r="E47" s="12" t="n">
        <v>3.35</v>
      </c>
      <c r="F47" s="13" t="n">
        <v>912</v>
      </c>
      <c r="G47" s="13" t="n">
        <v>273</v>
      </c>
      <c r="H47" s="13" t="n">
        <v>2</v>
      </c>
      <c r="I47" s="13" t="n">
        <v>2</v>
      </c>
      <c r="J47" s="13" t="n">
        <v>909</v>
      </c>
      <c r="K47" s="4" t="s">
        <v>98</v>
      </c>
    </row>
    <row r="48" customFormat="false" ht="15" hidden="false" customHeight="false" outlineLevel="0" collapsed="false">
      <c r="A48" s="4" t="s">
        <v>125</v>
      </c>
      <c r="B48" s="4" t="s">
        <v>43</v>
      </c>
      <c r="C48" s="4" t="s">
        <v>74</v>
      </c>
      <c r="D48" s="4" t="s">
        <v>84</v>
      </c>
      <c r="E48" s="12" t="n">
        <v>0</v>
      </c>
      <c r="F48" s="13" t="n">
        <v>2</v>
      </c>
      <c r="G48" s="13" t="n">
        <v>1</v>
      </c>
      <c r="H48" s="13" t="n">
        <v>0</v>
      </c>
      <c r="I48" s="13" t="n">
        <v>0</v>
      </c>
      <c r="J48" s="13" t="n">
        <v>1</v>
      </c>
      <c r="K48" s="4" t="s">
        <v>98</v>
      </c>
    </row>
    <row r="49" customFormat="false" ht="15" hidden="false" customHeight="false" outlineLevel="0" collapsed="false">
      <c r="A49" s="4" t="s">
        <v>126</v>
      </c>
      <c r="B49" s="4" t="s">
        <v>43</v>
      </c>
      <c r="C49" s="4" t="s">
        <v>74</v>
      </c>
      <c r="D49" s="4" t="s">
        <v>83</v>
      </c>
      <c r="E49" s="12" t="n">
        <v>3.33</v>
      </c>
      <c r="F49" s="13" t="n">
        <v>906</v>
      </c>
      <c r="G49" s="13" t="n">
        <v>287</v>
      </c>
      <c r="H49" s="13" t="n">
        <v>2</v>
      </c>
      <c r="I49" s="13" t="n">
        <v>2</v>
      </c>
      <c r="J49" s="13" t="n">
        <v>901</v>
      </c>
      <c r="K49" s="4" t="s">
        <v>98</v>
      </c>
    </row>
    <row r="50" customFormat="false" ht="15" hidden="false" customHeight="false" outlineLevel="0" collapsed="false">
      <c r="A50" s="4" t="s">
        <v>127</v>
      </c>
      <c r="B50" s="4" t="s">
        <v>43</v>
      </c>
      <c r="C50" s="4" t="s">
        <v>74</v>
      </c>
      <c r="D50" s="4" t="s">
        <v>83</v>
      </c>
      <c r="E50" s="12" t="n">
        <v>2.7</v>
      </c>
      <c r="F50" s="13" t="n">
        <v>656</v>
      </c>
      <c r="G50" s="13" t="n">
        <v>203</v>
      </c>
      <c r="H50" s="13" t="n">
        <v>2</v>
      </c>
      <c r="I50" s="13" t="n">
        <v>2</v>
      </c>
      <c r="J50" s="13" t="n">
        <v>654</v>
      </c>
      <c r="K50" s="4" t="s">
        <v>98</v>
      </c>
    </row>
    <row r="51" customFormat="false" ht="15" hidden="false" customHeight="false" outlineLevel="0" collapsed="false">
      <c r="A51" s="4" t="s">
        <v>127</v>
      </c>
      <c r="B51" s="4" t="s">
        <v>43</v>
      </c>
      <c r="C51" s="4" t="s">
        <v>74</v>
      </c>
      <c r="D51" s="4" t="s">
        <v>84</v>
      </c>
      <c r="E51" s="12" t="n">
        <v>0</v>
      </c>
      <c r="F51" s="13" t="n">
        <v>2</v>
      </c>
      <c r="G51" s="13" t="n">
        <v>2</v>
      </c>
      <c r="H51" s="13" t="n">
        <v>0</v>
      </c>
      <c r="I51" s="13" t="n">
        <v>0</v>
      </c>
      <c r="J51" s="13" t="n">
        <v>1</v>
      </c>
      <c r="K51" s="4" t="s">
        <v>98</v>
      </c>
    </row>
    <row r="52" customFormat="false" ht="15" hidden="false" customHeight="false" outlineLevel="0" collapsed="false">
      <c r="A52" s="4" t="s">
        <v>128</v>
      </c>
      <c r="B52" s="4" t="s">
        <v>43</v>
      </c>
      <c r="C52" s="4" t="s">
        <v>74</v>
      </c>
      <c r="D52" s="4" t="s">
        <v>83</v>
      </c>
      <c r="E52" s="12" t="n">
        <v>2.34</v>
      </c>
      <c r="F52" s="13" t="n">
        <v>602</v>
      </c>
      <c r="G52" s="13" t="n">
        <v>194</v>
      </c>
      <c r="H52" s="13" t="n">
        <v>3</v>
      </c>
      <c r="I52" s="13" t="n">
        <v>3</v>
      </c>
      <c r="J52" s="13" t="n">
        <v>598</v>
      </c>
      <c r="K52" s="4" t="s">
        <v>98</v>
      </c>
    </row>
    <row r="53" customFormat="false" ht="15" hidden="false" customHeight="false" outlineLevel="0" collapsed="false">
      <c r="A53" s="4" t="s">
        <v>129</v>
      </c>
      <c r="B53" s="4" t="s">
        <v>43</v>
      </c>
      <c r="C53" s="4" t="s">
        <v>74</v>
      </c>
      <c r="D53" s="4" t="s">
        <v>83</v>
      </c>
      <c r="E53" s="12" t="n">
        <v>0.14</v>
      </c>
      <c r="F53" s="13" t="n">
        <v>59</v>
      </c>
      <c r="G53" s="13" t="n">
        <v>28</v>
      </c>
      <c r="H53" s="13" t="n">
        <v>1</v>
      </c>
      <c r="I53" s="13" t="n">
        <v>1</v>
      </c>
      <c r="J53" s="13" t="n">
        <v>59</v>
      </c>
      <c r="K53" s="4" t="s">
        <v>98</v>
      </c>
    </row>
    <row r="54" customFormat="false" ht="15" hidden="false" customHeight="false" outlineLevel="0" collapsed="false">
      <c r="A54" s="4" t="s">
        <v>130</v>
      </c>
      <c r="B54" s="4" t="s">
        <v>43</v>
      </c>
      <c r="C54" s="4" t="s">
        <v>75</v>
      </c>
      <c r="D54" s="4" t="s">
        <v>83</v>
      </c>
      <c r="E54" s="12" t="n">
        <v>1.27</v>
      </c>
      <c r="F54" s="13" t="n">
        <v>363</v>
      </c>
      <c r="G54" s="13" t="n">
        <v>181</v>
      </c>
      <c r="H54" s="13" t="n">
        <v>2</v>
      </c>
      <c r="I54" s="13" t="n">
        <v>2</v>
      </c>
      <c r="J54" s="13" t="n">
        <v>355</v>
      </c>
      <c r="K54" s="4" t="s">
        <v>98</v>
      </c>
    </row>
    <row r="55" customFormat="false" ht="15" hidden="false" customHeight="false" outlineLevel="0" collapsed="false">
      <c r="A55" s="4" t="s">
        <v>130</v>
      </c>
      <c r="B55" s="4" t="s">
        <v>43</v>
      </c>
      <c r="C55" s="4" t="s">
        <v>75</v>
      </c>
      <c r="D55" s="4" t="s">
        <v>84</v>
      </c>
      <c r="E55" s="12" t="n">
        <v>0.16</v>
      </c>
      <c r="F55" s="13" t="n">
        <v>64</v>
      </c>
      <c r="G55" s="13" t="n">
        <v>62</v>
      </c>
      <c r="H55" s="13" t="n">
        <v>3</v>
      </c>
      <c r="I55" s="13" t="n">
        <v>2</v>
      </c>
      <c r="J55" s="13" t="n">
        <v>28</v>
      </c>
      <c r="K55" s="4" t="s">
        <v>98</v>
      </c>
    </row>
    <row r="56" customFormat="false" ht="15" hidden="false" customHeight="false" outlineLevel="0" collapsed="false">
      <c r="A56" s="4" t="s">
        <v>130</v>
      </c>
      <c r="B56" s="4" t="s">
        <v>43</v>
      </c>
      <c r="C56" s="4" t="s">
        <v>75</v>
      </c>
      <c r="D56" s="4" t="s">
        <v>85</v>
      </c>
      <c r="E56" s="12" t="n">
        <v>0</v>
      </c>
      <c r="F56" s="13" t="n">
        <v>5</v>
      </c>
      <c r="G56" s="13" t="n">
        <v>5</v>
      </c>
      <c r="H56" s="13" t="n">
        <v>0</v>
      </c>
      <c r="I56" s="13" t="n">
        <v>0</v>
      </c>
      <c r="J56" s="13" t="n">
        <v>1</v>
      </c>
      <c r="K56" s="4" t="s">
        <v>98</v>
      </c>
    </row>
    <row r="57" customFormat="false" ht="15" hidden="false" customHeight="false" outlineLevel="0" collapsed="false">
      <c r="A57" s="4" t="s">
        <v>130</v>
      </c>
      <c r="B57" s="4" t="s">
        <v>43</v>
      </c>
      <c r="C57" s="4" t="s">
        <v>75</v>
      </c>
      <c r="D57" s="4" t="s">
        <v>86</v>
      </c>
      <c r="E57" s="12" t="n">
        <v>0</v>
      </c>
      <c r="F57" s="13" t="n">
        <v>4</v>
      </c>
      <c r="G57" s="13" t="n">
        <v>4</v>
      </c>
      <c r="H57" s="13" t="n">
        <v>0</v>
      </c>
      <c r="I57" s="13" t="n">
        <v>0</v>
      </c>
      <c r="J57" s="13" t="n">
        <v>1</v>
      </c>
      <c r="K57" s="4" t="s">
        <v>98</v>
      </c>
    </row>
    <row r="58" customFormat="false" ht="15" hidden="false" customHeight="false" outlineLevel="0" collapsed="false">
      <c r="A58" s="4" t="s">
        <v>131</v>
      </c>
      <c r="B58" s="4" t="s">
        <v>43</v>
      </c>
      <c r="C58" s="4" t="s">
        <v>75</v>
      </c>
      <c r="D58" s="4" t="s">
        <v>83</v>
      </c>
      <c r="E58" s="12" t="n">
        <v>3.25</v>
      </c>
      <c r="F58" s="13" t="n">
        <v>920</v>
      </c>
      <c r="G58" s="13" t="n">
        <v>415</v>
      </c>
      <c r="H58" s="13" t="n">
        <v>3</v>
      </c>
      <c r="I58" s="13" t="n">
        <v>3</v>
      </c>
      <c r="J58" s="13" t="n">
        <v>911</v>
      </c>
      <c r="K58" s="4" t="s">
        <v>98</v>
      </c>
    </row>
    <row r="59" customFormat="false" ht="15" hidden="false" customHeight="false" outlineLevel="0" collapsed="false">
      <c r="A59" s="4" t="s">
        <v>131</v>
      </c>
      <c r="B59" s="4" t="s">
        <v>43</v>
      </c>
      <c r="C59" s="4" t="s">
        <v>75</v>
      </c>
      <c r="D59" s="4" t="s">
        <v>84</v>
      </c>
      <c r="E59" s="12" t="n">
        <v>0.02</v>
      </c>
      <c r="F59" s="13" t="n">
        <v>11</v>
      </c>
      <c r="G59" s="13" t="n">
        <v>11</v>
      </c>
      <c r="H59" s="13" t="n">
        <v>0</v>
      </c>
      <c r="I59" s="13" t="n">
        <v>0</v>
      </c>
      <c r="J59" s="13" t="n">
        <v>5</v>
      </c>
      <c r="K59" s="4" t="s">
        <v>98</v>
      </c>
    </row>
    <row r="60" customFormat="false" ht="15" hidden="false" customHeight="false" outlineLevel="0" collapsed="false">
      <c r="A60" s="4" t="s">
        <v>131</v>
      </c>
      <c r="B60" s="4" t="s">
        <v>43</v>
      </c>
      <c r="C60" s="4" t="s">
        <v>75</v>
      </c>
      <c r="D60" s="4" t="s">
        <v>85</v>
      </c>
      <c r="E60" s="12" t="n">
        <v>0</v>
      </c>
      <c r="F60" s="13" t="n">
        <v>1</v>
      </c>
      <c r="G60" s="13" t="n">
        <v>1</v>
      </c>
      <c r="H60" s="13" t="n">
        <v>0</v>
      </c>
      <c r="I60" s="13" t="n">
        <v>0</v>
      </c>
      <c r="J60" s="13" t="n">
        <v>1</v>
      </c>
      <c r="K60" s="4" t="s">
        <v>98</v>
      </c>
    </row>
    <row r="61" customFormat="false" ht="15" hidden="false" customHeight="false" outlineLevel="0" collapsed="false">
      <c r="A61" s="4" t="s">
        <v>132</v>
      </c>
      <c r="B61" s="4" t="s">
        <v>43</v>
      </c>
      <c r="C61" s="4" t="s">
        <v>75</v>
      </c>
      <c r="D61" s="4" t="s">
        <v>83</v>
      </c>
      <c r="E61" s="12" t="n">
        <v>2.6</v>
      </c>
      <c r="F61" s="13" t="n">
        <v>845</v>
      </c>
      <c r="G61" s="13" t="n">
        <v>239</v>
      </c>
      <c r="H61" s="13" t="n">
        <v>2</v>
      </c>
      <c r="I61" s="13" t="n">
        <v>2</v>
      </c>
      <c r="J61" s="13" t="n">
        <v>840</v>
      </c>
      <c r="K61" s="4" t="s">
        <v>98</v>
      </c>
    </row>
    <row r="62" customFormat="false" ht="15" hidden="false" customHeight="false" outlineLevel="0" collapsed="false">
      <c r="A62" s="4" t="s">
        <v>133</v>
      </c>
      <c r="B62" s="4" t="s">
        <v>43</v>
      </c>
      <c r="C62" s="4" t="s">
        <v>75</v>
      </c>
      <c r="D62" s="4" t="s">
        <v>83</v>
      </c>
      <c r="E62" s="12" t="n">
        <v>2.28</v>
      </c>
      <c r="F62" s="13" t="n">
        <v>703</v>
      </c>
      <c r="G62" s="13" t="n">
        <v>163</v>
      </c>
      <c r="H62" s="13" t="n">
        <v>0</v>
      </c>
      <c r="I62" s="13" t="n">
        <v>0</v>
      </c>
      <c r="J62" s="13" t="n">
        <v>704</v>
      </c>
      <c r="K62" s="4" t="s">
        <v>98</v>
      </c>
    </row>
    <row r="63" customFormat="false" ht="15" hidden="false" customHeight="false" outlineLevel="0" collapsed="false">
      <c r="A63" s="4" t="s">
        <v>134</v>
      </c>
      <c r="B63" s="4" t="s">
        <v>43</v>
      </c>
      <c r="C63" s="4" t="s">
        <v>75</v>
      </c>
      <c r="D63" s="4" t="s">
        <v>83</v>
      </c>
      <c r="E63" s="12" t="n">
        <v>2.5</v>
      </c>
      <c r="F63" s="13" t="n">
        <v>805</v>
      </c>
      <c r="G63" s="13" t="n">
        <v>261</v>
      </c>
      <c r="H63" s="13" t="n">
        <v>2</v>
      </c>
      <c r="I63" s="13" t="n">
        <v>2</v>
      </c>
      <c r="J63" s="13" t="n">
        <v>798</v>
      </c>
      <c r="K63" s="4" t="s">
        <v>98</v>
      </c>
    </row>
    <row r="64" customFormat="false" ht="15" hidden="false" customHeight="false" outlineLevel="0" collapsed="false">
      <c r="A64" s="4" t="s">
        <v>135</v>
      </c>
      <c r="B64" s="4" t="s">
        <v>43</v>
      </c>
      <c r="C64" s="4" t="s">
        <v>75</v>
      </c>
      <c r="D64" s="4" t="s">
        <v>83</v>
      </c>
      <c r="E64" s="12" t="n">
        <v>2.82</v>
      </c>
      <c r="F64" s="13" t="n">
        <v>915</v>
      </c>
      <c r="G64" s="13" t="n">
        <v>263</v>
      </c>
      <c r="H64" s="13" t="n">
        <v>0</v>
      </c>
      <c r="I64" s="13" t="n">
        <v>0</v>
      </c>
      <c r="J64" s="13" t="n">
        <v>912</v>
      </c>
      <c r="K64" s="4" t="s">
        <v>98</v>
      </c>
    </row>
    <row r="65" customFormat="false" ht="15" hidden="false" customHeight="false" outlineLevel="0" collapsed="false">
      <c r="A65" s="4" t="s">
        <v>136</v>
      </c>
      <c r="B65" s="4" t="s">
        <v>43</v>
      </c>
      <c r="C65" s="4" t="s">
        <v>75</v>
      </c>
      <c r="D65" s="4" t="s">
        <v>83</v>
      </c>
      <c r="E65" s="12" t="n">
        <v>2.58</v>
      </c>
      <c r="F65" s="13" t="n">
        <v>934</v>
      </c>
      <c r="G65" s="13" t="n">
        <v>337</v>
      </c>
      <c r="H65" s="13" t="n">
        <v>2</v>
      </c>
      <c r="I65" s="13" t="n">
        <v>2</v>
      </c>
      <c r="J65" s="13" t="n">
        <v>927</v>
      </c>
      <c r="K65" s="4" t="s">
        <v>98</v>
      </c>
    </row>
    <row r="66" customFormat="false" ht="15" hidden="false" customHeight="false" outlineLevel="0" collapsed="false">
      <c r="A66" s="4" t="s">
        <v>137</v>
      </c>
      <c r="B66" s="4" t="s">
        <v>43</v>
      </c>
      <c r="C66" s="4" t="s">
        <v>75</v>
      </c>
      <c r="D66" s="4" t="s">
        <v>83</v>
      </c>
      <c r="E66" s="12" t="n">
        <v>2.65</v>
      </c>
      <c r="F66" s="13" t="n">
        <v>1021</v>
      </c>
      <c r="G66" s="13" t="n">
        <v>312</v>
      </c>
      <c r="H66" s="13" t="n">
        <v>3</v>
      </c>
      <c r="I66" s="13" t="n">
        <v>3</v>
      </c>
      <c r="J66" s="13" t="n">
        <v>1016</v>
      </c>
      <c r="K66" s="4" t="s">
        <v>98</v>
      </c>
    </row>
    <row r="67" customFormat="false" ht="15" hidden="false" customHeight="false" outlineLevel="0" collapsed="false">
      <c r="A67" s="4" t="s">
        <v>138</v>
      </c>
      <c r="B67" s="4" t="s">
        <v>43</v>
      </c>
      <c r="C67" s="4" t="s">
        <v>75</v>
      </c>
      <c r="D67" s="4" t="s">
        <v>83</v>
      </c>
      <c r="E67" s="12" t="n">
        <v>2.59</v>
      </c>
      <c r="F67" s="13" t="n">
        <v>1002</v>
      </c>
      <c r="G67" s="13" t="n">
        <v>302</v>
      </c>
      <c r="H67" s="13" t="n">
        <v>1</v>
      </c>
      <c r="I67" s="13" t="n">
        <v>1</v>
      </c>
      <c r="J67" s="13" t="n">
        <v>999</v>
      </c>
      <c r="K67" s="4" t="s">
        <v>98</v>
      </c>
    </row>
    <row r="68" customFormat="false" ht="15" hidden="false" customHeight="false" outlineLevel="0" collapsed="false">
      <c r="A68" s="4" t="s">
        <v>139</v>
      </c>
      <c r="B68" s="4" t="s">
        <v>43</v>
      </c>
      <c r="C68" s="4" t="s">
        <v>75</v>
      </c>
      <c r="D68" s="4" t="s">
        <v>83</v>
      </c>
      <c r="E68" s="12" t="n">
        <v>2.47</v>
      </c>
      <c r="F68" s="13" t="n">
        <v>894</v>
      </c>
      <c r="G68" s="13" t="n">
        <v>287</v>
      </c>
      <c r="H68" s="13" t="n">
        <v>2</v>
      </c>
      <c r="I68" s="13" t="n">
        <v>2</v>
      </c>
      <c r="J68" s="13" t="n">
        <v>893</v>
      </c>
      <c r="K68" s="4" t="s">
        <v>98</v>
      </c>
    </row>
    <row r="69" customFormat="false" ht="15" hidden="false" customHeight="false" outlineLevel="0" collapsed="false">
      <c r="A69" s="4" t="s">
        <v>140</v>
      </c>
      <c r="B69" s="4" t="s">
        <v>43</v>
      </c>
      <c r="C69" s="4" t="s">
        <v>75</v>
      </c>
      <c r="D69" s="4" t="s">
        <v>83</v>
      </c>
      <c r="E69" s="12" t="n">
        <v>2.27</v>
      </c>
      <c r="F69" s="13" t="n">
        <v>851</v>
      </c>
      <c r="G69" s="13" t="n">
        <v>308</v>
      </c>
      <c r="H69" s="13" t="n">
        <v>2</v>
      </c>
      <c r="I69" s="13" t="n">
        <v>2</v>
      </c>
      <c r="J69" s="13" t="n">
        <v>844</v>
      </c>
      <c r="K69" s="4" t="s">
        <v>98</v>
      </c>
    </row>
    <row r="70" customFormat="false" ht="15" hidden="false" customHeight="false" outlineLevel="0" collapsed="false">
      <c r="A70" s="4" t="s">
        <v>141</v>
      </c>
      <c r="B70" s="4" t="s">
        <v>43</v>
      </c>
      <c r="C70" s="4" t="s">
        <v>75</v>
      </c>
      <c r="D70" s="4" t="s">
        <v>83</v>
      </c>
      <c r="E70" s="12" t="n">
        <v>2.45</v>
      </c>
      <c r="F70" s="13" t="n">
        <v>788</v>
      </c>
      <c r="G70" s="13" t="n">
        <v>284</v>
      </c>
      <c r="H70" s="13" t="n">
        <v>2</v>
      </c>
      <c r="I70" s="13" t="n">
        <v>2</v>
      </c>
      <c r="J70" s="13" t="n">
        <v>779</v>
      </c>
      <c r="K70" s="4" t="s">
        <v>98</v>
      </c>
    </row>
    <row r="71" customFormat="false" ht="15" hidden="false" customHeight="false" outlineLevel="0" collapsed="false">
      <c r="A71" s="4" t="s">
        <v>142</v>
      </c>
      <c r="B71" s="4" t="s">
        <v>43</v>
      </c>
      <c r="C71" s="4" t="s">
        <v>75</v>
      </c>
      <c r="D71" s="4" t="s">
        <v>83</v>
      </c>
      <c r="E71" s="12" t="n">
        <v>2.35</v>
      </c>
      <c r="F71" s="13" t="n">
        <v>819</v>
      </c>
      <c r="G71" s="13" t="n">
        <v>287</v>
      </c>
      <c r="H71" s="13" t="n">
        <v>1</v>
      </c>
      <c r="I71" s="13" t="n">
        <v>1</v>
      </c>
      <c r="J71" s="13" t="n">
        <v>811</v>
      </c>
      <c r="K71" s="4" t="s">
        <v>98</v>
      </c>
    </row>
    <row r="72" customFormat="false" ht="15" hidden="false" customHeight="false" outlineLevel="0" collapsed="false">
      <c r="A72" s="4" t="s">
        <v>143</v>
      </c>
      <c r="B72" s="4" t="s">
        <v>43</v>
      </c>
      <c r="C72" s="4" t="s">
        <v>75</v>
      </c>
      <c r="D72" s="4" t="s">
        <v>83</v>
      </c>
      <c r="E72" s="12" t="n">
        <v>2.5</v>
      </c>
      <c r="F72" s="13" t="n">
        <v>813</v>
      </c>
      <c r="G72" s="13" t="n">
        <v>280</v>
      </c>
      <c r="H72" s="13" t="n">
        <v>1</v>
      </c>
      <c r="I72" s="13" t="n">
        <v>1</v>
      </c>
      <c r="J72" s="13" t="n">
        <v>809</v>
      </c>
      <c r="K72" s="4" t="s">
        <v>98</v>
      </c>
    </row>
    <row r="73" customFormat="false" ht="15" hidden="false" customHeight="false" outlineLevel="0" collapsed="false">
      <c r="A73" s="4" t="s">
        <v>144</v>
      </c>
      <c r="B73" s="4" t="s">
        <v>43</v>
      </c>
      <c r="C73" s="4" t="s">
        <v>75</v>
      </c>
      <c r="D73" s="4" t="s">
        <v>83</v>
      </c>
      <c r="E73" s="12" t="n">
        <v>2.52</v>
      </c>
      <c r="F73" s="13" t="n">
        <v>905</v>
      </c>
      <c r="G73" s="13" t="n">
        <v>343</v>
      </c>
      <c r="H73" s="13" t="n">
        <v>4</v>
      </c>
      <c r="I73" s="13" t="n">
        <v>4</v>
      </c>
      <c r="J73" s="13" t="n">
        <v>901</v>
      </c>
      <c r="K73" s="4" t="s">
        <v>98</v>
      </c>
    </row>
    <row r="74" customFormat="false" ht="15" hidden="false" customHeight="false" outlineLevel="0" collapsed="false">
      <c r="A74" s="4" t="s">
        <v>145</v>
      </c>
      <c r="B74" s="4" t="s">
        <v>43</v>
      </c>
      <c r="C74" s="4" t="s">
        <v>75</v>
      </c>
      <c r="D74" s="4" t="s">
        <v>83</v>
      </c>
      <c r="E74" s="12" t="n">
        <v>1.66</v>
      </c>
      <c r="F74" s="13" t="n">
        <v>631</v>
      </c>
      <c r="G74" s="13" t="n">
        <v>220</v>
      </c>
      <c r="H74" s="13" t="n">
        <v>0</v>
      </c>
      <c r="I74" s="13" t="n">
        <v>0</v>
      </c>
      <c r="J74" s="13" t="n">
        <v>622</v>
      </c>
      <c r="K74" s="4" t="s">
        <v>98</v>
      </c>
    </row>
    <row r="75" customFormat="false" ht="15" hidden="false" customHeight="false" outlineLevel="0" collapsed="false">
      <c r="A75" s="4" t="s">
        <v>146</v>
      </c>
      <c r="B75" s="4" t="s">
        <v>43</v>
      </c>
      <c r="C75" s="4" t="s">
        <v>75</v>
      </c>
      <c r="D75" s="4" t="s">
        <v>83</v>
      </c>
      <c r="E75" s="12" t="n">
        <v>1.89</v>
      </c>
      <c r="F75" s="13" t="n">
        <v>782</v>
      </c>
      <c r="G75" s="13" t="n">
        <v>254</v>
      </c>
      <c r="H75" s="13" t="n">
        <v>1</v>
      </c>
      <c r="I75" s="13" t="n">
        <v>1</v>
      </c>
      <c r="J75" s="13" t="n">
        <v>780</v>
      </c>
      <c r="K75" s="4" t="s">
        <v>98</v>
      </c>
    </row>
    <row r="76" customFormat="false" ht="15" hidden="false" customHeight="false" outlineLevel="0" collapsed="false">
      <c r="A76" s="4" t="s">
        <v>147</v>
      </c>
      <c r="B76" s="4" t="s">
        <v>43</v>
      </c>
      <c r="C76" s="4" t="s">
        <v>75</v>
      </c>
      <c r="D76" s="4" t="s">
        <v>83</v>
      </c>
      <c r="E76" s="12" t="n">
        <v>1.88</v>
      </c>
      <c r="F76" s="13" t="n">
        <v>846</v>
      </c>
      <c r="G76" s="13" t="n">
        <v>336</v>
      </c>
      <c r="H76" s="13" t="n">
        <v>2</v>
      </c>
      <c r="I76" s="13" t="n">
        <v>2</v>
      </c>
      <c r="J76" s="13" t="n">
        <v>833</v>
      </c>
      <c r="K76" s="4" t="s">
        <v>98</v>
      </c>
    </row>
    <row r="77" customFormat="false" ht="15" hidden="false" customHeight="false" outlineLevel="0" collapsed="false">
      <c r="A77" s="4" t="s">
        <v>148</v>
      </c>
      <c r="B77" s="4" t="s">
        <v>43</v>
      </c>
      <c r="C77" s="4" t="s">
        <v>75</v>
      </c>
      <c r="D77" s="4" t="s">
        <v>83</v>
      </c>
      <c r="E77" s="12" t="n">
        <v>1.73</v>
      </c>
      <c r="F77" s="13" t="n">
        <v>733</v>
      </c>
      <c r="G77" s="13" t="n">
        <v>286</v>
      </c>
      <c r="H77" s="13" t="n">
        <v>1</v>
      </c>
      <c r="I77" s="13" t="n">
        <v>1</v>
      </c>
      <c r="J77" s="13" t="n">
        <v>728</v>
      </c>
      <c r="K77" s="4" t="s">
        <v>98</v>
      </c>
    </row>
    <row r="78" customFormat="false" ht="15" hidden="false" customHeight="false" outlineLevel="0" collapsed="false">
      <c r="A78" s="4" t="s">
        <v>149</v>
      </c>
      <c r="B78" s="4" t="s">
        <v>43</v>
      </c>
      <c r="C78" s="4" t="s">
        <v>75</v>
      </c>
      <c r="D78" s="4" t="s">
        <v>83</v>
      </c>
      <c r="E78" s="12" t="n">
        <v>1.3</v>
      </c>
      <c r="F78" s="13" t="n">
        <v>608</v>
      </c>
      <c r="G78" s="13" t="n">
        <v>232</v>
      </c>
      <c r="H78" s="13" t="n">
        <v>1</v>
      </c>
      <c r="I78" s="13" t="n">
        <v>1</v>
      </c>
      <c r="J78" s="13" t="n">
        <v>600</v>
      </c>
      <c r="K78" s="4" t="s">
        <v>98</v>
      </c>
    </row>
    <row r="79" customFormat="false" ht="15" hidden="false" customHeight="false" outlineLevel="0" collapsed="false">
      <c r="A79" s="4" t="s">
        <v>150</v>
      </c>
      <c r="B79" s="4" t="s">
        <v>43</v>
      </c>
      <c r="C79" s="4" t="s">
        <v>75</v>
      </c>
      <c r="D79" s="4" t="s">
        <v>83</v>
      </c>
      <c r="E79" s="12" t="n">
        <v>1.28</v>
      </c>
      <c r="F79" s="13" t="n">
        <v>535</v>
      </c>
      <c r="G79" s="13" t="n">
        <v>214</v>
      </c>
      <c r="H79" s="13" t="n">
        <v>0</v>
      </c>
      <c r="I79" s="13" t="n">
        <v>0</v>
      </c>
      <c r="J79" s="13" t="n">
        <v>525</v>
      </c>
      <c r="K79" s="4" t="s">
        <v>98</v>
      </c>
    </row>
    <row r="80" customFormat="false" ht="15" hidden="false" customHeight="false" outlineLevel="0" collapsed="false">
      <c r="A80" s="4" t="s">
        <v>151</v>
      </c>
      <c r="B80" s="4" t="s">
        <v>43</v>
      </c>
      <c r="C80" s="4" t="s">
        <v>75</v>
      </c>
      <c r="D80" s="4" t="s">
        <v>83</v>
      </c>
      <c r="E80" s="12" t="n">
        <v>0.96</v>
      </c>
      <c r="F80" s="13" t="n">
        <v>473</v>
      </c>
      <c r="G80" s="13" t="n">
        <v>213</v>
      </c>
      <c r="H80" s="13" t="n">
        <v>0</v>
      </c>
      <c r="I80" s="13" t="n">
        <v>0</v>
      </c>
      <c r="J80" s="13" t="n">
        <v>460</v>
      </c>
      <c r="K80" s="4" t="s">
        <v>98</v>
      </c>
    </row>
    <row r="81" customFormat="false" ht="15" hidden="false" customHeight="false" outlineLevel="0" collapsed="false">
      <c r="A81" s="4" t="s">
        <v>152</v>
      </c>
      <c r="B81" s="4" t="s">
        <v>43</v>
      </c>
      <c r="C81" s="4" t="s">
        <v>75</v>
      </c>
      <c r="D81" s="4" t="s">
        <v>83</v>
      </c>
      <c r="E81" s="12" t="n">
        <v>1</v>
      </c>
      <c r="F81" s="13" t="n">
        <v>420</v>
      </c>
      <c r="G81" s="13" t="n">
        <v>152</v>
      </c>
      <c r="H81" s="13" t="n">
        <v>1</v>
      </c>
      <c r="I81" s="13" t="n">
        <v>1</v>
      </c>
      <c r="J81" s="13" t="n">
        <v>418</v>
      </c>
      <c r="K81" s="4" t="s">
        <v>98</v>
      </c>
    </row>
    <row r="82" customFormat="false" ht="15" hidden="false" customHeight="false" outlineLevel="0" collapsed="false">
      <c r="A82" s="4" t="s">
        <v>153</v>
      </c>
      <c r="B82" s="4" t="s">
        <v>43</v>
      </c>
      <c r="C82" s="4" t="s">
        <v>75</v>
      </c>
      <c r="D82" s="4" t="s">
        <v>83</v>
      </c>
      <c r="E82" s="12" t="n">
        <v>0.66</v>
      </c>
      <c r="F82" s="13" t="n">
        <v>264</v>
      </c>
      <c r="G82" s="13" t="n">
        <v>107</v>
      </c>
      <c r="H82" s="13" t="n">
        <v>0</v>
      </c>
      <c r="I82" s="13" t="n">
        <v>0</v>
      </c>
      <c r="J82" s="13" t="n">
        <v>259</v>
      </c>
      <c r="K82" s="4" t="s">
        <v>98</v>
      </c>
    </row>
    <row r="83" customFormat="false" ht="15" hidden="false" customHeight="false" outlineLevel="0" collapsed="false">
      <c r="A83" s="4" t="s">
        <v>154</v>
      </c>
      <c r="B83" s="4" t="s">
        <v>43</v>
      </c>
      <c r="C83" s="4" t="s">
        <v>75</v>
      </c>
      <c r="D83" s="4" t="s">
        <v>83</v>
      </c>
      <c r="E83" s="12" t="n">
        <v>0.34</v>
      </c>
      <c r="F83" s="13" t="n">
        <v>144</v>
      </c>
      <c r="G83" s="13" t="n">
        <v>80</v>
      </c>
      <c r="H83" s="13" t="n">
        <v>0</v>
      </c>
      <c r="I83" s="13" t="n">
        <v>0</v>
      </c>
      <c r="J83" s="13" t="n">
        <v>143</v>
      </c>
      <c r="K83" s="4" t="s">
        <v>98</v>
      </c>
    </row>
    <row r="84" customFormat="false" ht="15" hidden="false" customHeight="false" outlineLevel="0" collapsed="false">
      <c r="A84" s="4" t="s">
        <v>155</v>
      </c>
      <c r="B84" s="4" t="s">
        <v>43</v>
      </c>
      <c r="C84" s="4" t="s">
        <v>75</v>
      </c>
      <c r="D84" s="4" t="s">
        <v>83</v>
      </c>
      <c r="E84" s="12" t="n">
        <v>0.02</v>
      </c>
      <c r="F84" s="13" t="n">
        <v>14</v>
      </c>
      <c r="G84" s="13" t="n">
        <v>12</v>
      </c>
      <c r="H84" s="13" t="n">
        <v>0</v>
      </c>
      <c r="I84" s="13" t="n">
        <v>0</v>
      </c>
      <c r="J84" s="13" t="n">
        <v>14</v>
      </c>
      <c r="K84" s="4" t="s">
        <v>98</v>
      </c>
    </row>
    <row r="85" customFormat="false" ht="15" hidden="false" customHeight="false" outlineLevel="0" collapsed="false">
      <c r="A85" s="4" t="s">
        <v>156</v>
      </c>
      <c r="B85" s="4" t="s">
        <v>43</v>
      </c>
      <c r="C85" s="4" t="s">
        <v>73</v>
      </c>
      <c r="D85" s="4" t="s">
        <v>83</v>
      </c>
      <c r="E85" s="12" t="n">
        <v>1.62</v>
      </c>
      <c r="F85" s="13" t="n">
        <v>545</v>
      </c>
      <c r="G85" s="13" t="n">
        <v>226</v>
      </c>
      <c r="H85" s="13" t="n">
        <v>0</v>
      </c>
      <c r="I85" s="13" t="n">
        <v>0</v>
      </c>
      <c r="J85" s="13" t="n">
        <v>531</v>
      </c>
      <c r="K85" s="4" t="s">
        <v>98</v>
      </c>
    </row>
    <row r="86" customFormat="false" ht="15" hidden="false" customHeight="false" outlineLevel="0" collapsed="false">
      <c r="A86" s="4" t="s">
        <v>156</v>
      </c>
      <c r="B86" s="4" t="s">
        <v>43</v>
      </c>
      <c r="C86" s="4" t="s">
        <v>73</v>
      </c>
      <c r="D86" s="4" t="s">
        <v>84</v>
      </c>
      <c r="E86" s="12" t="n">
        <v>0.03</v>
      </c>
      <c r="F86" s="13" t="n">
        <v>39</v>
      </c>
      <c r="G86" s="13" t="n">
        <v>34</v>
      </c>
      <c r="H86" s="13" t="n">
        <v>2</v>
      </c>
      <c r="I86" s="13" t="n">
        <v>0</v>
      </c>
      <c r="J86" s="13" t="n">
        <v>20</v>
      </c>
      <c r="K86" s="4" t="s">
        <v>98</v>
      </c>
    </row>
    <row r="87" customFormat="false" ht="15" hidden="false" customHeight="false" outlineLevel="0" collapsed="false">
      <c r="A87" s="4" t="s">
        <v>156</v>
      </c>
      <c r="B87" s="4" t="s">
        <v>43</v>
      </c>
      <c r="C87" s="4" t="s">
        <v>73</v>
      </c>
      <c r="D87" s="4" t="s">
        <v>85</v>
      </c>
      <c r="E87" s="12" t="n">
        <v>0.02</v>
      </c>
      <c r="F87" s="13" t="n">
        <v>18</v>
      </c>
      <c r="G87" s="13" t="n">
        <v>18</v>
      </c>
      <c r="H87" s="13" t="n">
        <v>0</v>
      </c>
      <c r="I87" s="13" t="n">
        <v>0</v>
      </c>
      <c r="J87" s="13" t="n">
        <v>8</v>
      </c>
      <c r="K87" s="4" t="s">
        <v>98</v>
      </c>
    </row>
    <row r="88" customFormat="false" ht="15" hidden="false" customHeight="false" outlineLevel="0" collapsed="false">
      <c r="A88" s="4" t="s">
        <v>156</v>
      </c>
      <c r="B88" s="4" t="s">
        <v>43</v>
      </c>
      <c r="C88" s="4" t="s">
        <v>73</v>
      </c>
      <c r="D88" s="4" t="s">
        <v>86</v>
      </c>
      <c r="E88" s="12" t="n">
        <v>0.01</v>
      </c>
      <c r="F88" s="13" t="n">
        <v>10</v>
      </c>
      <c r="G88" s="13" t="n">
        <v>10</v>
      </c>
      <c r="H88" s="13" t="n">
        <v>0</v>
      </c>
      <c r="I88" s="13" t="n">
        <v>0</v>
      </c>
      <c r="J88" s="13" t="n">
        <v>8</v>
      </c>
      <c r="K88" s="4" t="s">
        <v>98</v>
      </c>
    </row>
    <row r="89" customFormat="false" ht="15" hidden="false" customHeight="false" outlineLevel="0" collapsed="false">
      <c r="A89" s="4" t="s">
        <v>157</v>
      </c>
      <c r="B89" s="4" t="s">
        <v>43</v>
      </c>
      <c r="C89" s="4" t="s">
        <v>73</v>
      </c>
      <c r="D89" s="4" t="s">
        <v>83</v>
      </c>
      <c r="E89" s="12" t="n">
        <v>3.68</v>
      </c>
      <c r="F89" s="13" t="n">
        <v>1414</v>
      </c>
      <c r="G89" s="13" t="n">
        <v>623</v>
      </c>
      <c r="H89" s="13" t="n">
        <v>0</v>
      </c>
      <c r="I89" s="13" t="n">
        <v>0</v>
      </c>
      <c r="J89" s="13" t="n">
        <v>1386</v>
      </c>
      <c r="K89" s="4" t="s">
        <v>98</v>
      </c>
    </row>
    <row r="90" customFormat="false" ht="15" hidden="false" customHeight="false" outlineLevel="0" collapsed="false">
      <c r="A90" s="4" t="s">
        <v>157</v>
      </c>
      <c r="B90" s="4" t="s">
        <v>43</v>
      </c>
      <c r="C90" s="4" t="s">
        <v>73</v>
      </c>
      <c r="D90" s="4" t="s">
        <v>84</v>
      </c>
      <c r="E90" s="12" t="n">
        <v>0</v>
      </c>
      <c r="F90" s="13" t="n">
        <v>13</v>
      </c>
      <c r="G90" s="13" t="n">
        <v>13</v>
      </c>
      <c r="H90" s="13" t="n">
        <v>0</v>
      </c>
      <c r="I90" s="13" t="n">
        <v>0</v>
      </c>
      <c r="J90" s="13" t="n">
        <v>7</v>
      </c>
      <c r="K90" s="4" t="s">
        <v>98</v>
      </c>
    </row>
    <row r="91" customFormat="false" ht="15" hidden="false" customHeight="false" outlineLevel="0" collapsed="false">
      <c r="A91" s="4" t="s">
        <v>157</v>
      </c>
      <c r="B91" s="4" t="s">
        <v>43</v>
      </c>
      <c r="C91" s="4" t="s">
        <v>73</v>
      </c>
      <c r="D91" s="4" t="s">
        <v>85</v>
      </c>
      <c r="E91" s="12" t="n">
        <v>0</v>
      </c>
      <c r="F91" s="13" t="n">
        <v>14</v>
      </c>
      <c r="G91" s="13" t="n">
        <v>13</v>
      </c>
      <c r="H91" s="13" t="n">
        <v>0</v>
      </c>
      <c r="I91" s="13" t="n">
        <v>0</v>
      </c>
      <c r="J91" s="13" t="n">
        <v>2</v>
      </c>
      <c r="K91" s="4" t="s">
        <v>98</v>
      </c>
    </row>
    <row r="92" customFormat="false" ht="15" hidden="false" customHeight="false" outlineLevel="0" collapsed="false">
      <c r="A92" s="4" t="s">
        <v>158</v>
      </c>
      <c r="B92" s="4" t="s">
        <v>43</v>
      </c>
      <c r="C92" s="4" t="s">
        <v>73</v>
      </c>
      <c r="D92" s="4" t="s">
        <v>83</v>
      </c>
      <c r="E92" s="12" t="n">
        <v>3.49</v>
      </c>
      <c r="F92" s="13" t="n">
        <v>1473</v>
      </c>
      <c r="G92" s="13" t="n">
        <v>595</v>
      </c>
      <c r="H92" s="13" t="n">
        <v>0</v>
      </c>
      <c r="I92" s="13" t="n">
        <v>0</v>
      </c>
      <c r="J92" s="13" t="n">
        <v>1454</v>
      </c>
      <c r="K92" s="4" t="s">
        <v>98</v>
      </c>
    </row>
    <row r="93" customFormat="false" ht="15" hidden="false" customHeight="false" outlineLevel="0" collapsed="false">
      <c r="A93" s="4" t="s">
        <v>158</v>
      </c>
      <c r="B93" s="4" t="s">
        <v>43</v>
      </c>
      <c r="C93" s="4" t="s">
        <v>73</v>
      </c>
      <c r="D93" s="4" t="s">
        <v>84</v>
      </c>
      <c r="E93" s="12" t="n">
        <v>0</v>
      </c>
      <c r="F93" s="13" t="n">
        <v>4</v>
      </c>
      <c r="G93" s="13" t="n">
        <v>4</v>
      </c>
      <c r="H93" s="13" t="n">
        <v>0</v>
      </c>
      <c r="I93" s="13" t="n">
        <v>0</v>
      </c>
      <c r="J93" s="13" t="n">
        <v>3</v>
      </c>
      <c r="K93" s="4" t="s">
        <v>98</v>
      </c>
    </row>
    <row r="94" customFormat="false" ht="15" hidden="false" customHeight="false" outlineLevel="0" collapsed="false">
      <c r="A94" s="4" t="s">
        <v>158</v>
      </c>
      <c r="B94" s="4" t="s">
        <v>43</v>
      </c>
      <c r="C94" s="4" t="s">
        <v>73</v>
      </c>
      <c r="D94" s="4" t="s">
        <v>85</v>
      </c>
      <c r="E94" s="12" t="n">
        <v>0</v>
      </c>
      <c r="F94" s="13" t="n">
        <v>5</v>
      </c>
      <c r="G94" s="13" t="n">
        <v>5</v>
      </c>
      <c r="H94" s="13" t="n">
        <v>0</v>
      </c>
      <c r="I94" s="13" t="n">
        <v>0</v>
      </c>
      <c r="J94" s="13" t="n">
        <v>1</v>
      </c>
      <c r="K94" s="4" t="s">
        <v>98</v>
      </c>
    </row>
    <row r="95" customFormat="false" ht="15" hidden="false" customHeight="false" outlineLevel="0" collapsed="false">
      <c r="A95" s="4" t="s">
        <v>159</v>
      </c>
      <c r="B95" s="4" t="s">
        <v>43</v>
      </c>
      <c r="C95" s="4" t="s">
        <v>73</v>
      </c>
      <c r="D95" s="4" t="s">
        <v>83</v>
      </c>
      <c r="E95" s="12" t="n">
        <v>3.05</v>
      </c>
      <c r="F95" s="13" t="n">
        <v>1423</v>
      </c>
      <c r="G95" s="13" t="n">
        <v>579</v>
      </c>
      <c r="H95" s="13" t="n">
        <v>0</v>
      </c>
      <c r="I95" s="13" t="n">
        <v>0</v>
      </c>
      <c r="J95" s="13" t="n">
        <v>1396</v>
      </c>
      <c r="K95" s="4" t="s">
        <v>98</v>
      </c>
    </row>
    <row r="96" customFormat="false" ht="15" hidden="false" customHeight="false" outlineLevel="0" collapsed="false">
      <c r="A96" s="4" t="s">
        <v>160</v>
      </c>
      <c r="B96" s="4" t="s">
        <v>43</v>
      </c>
      <c r="C96" s="4" t="s">
        <v>73</v>
      </c>
      <c r="D96" s="4" t="s">
        <v>83</v>
      </c>
      <c r="E96" s="12" t="n">
        <v>2.63</v>
      </c>
      <c r="F96" s="13" t="n">
        <v>1367</v>
      </c>
      <c r="G96" s="13" t="n">
        <v>592</v>
      </c>
      <c r="H96" s="13" t="n">
        <v>0</v>
      </c>
      <c r="I96" s="13" t="n">
        <v>0</v>
      </c>
      <c r="J96" s="13" t="n">
        <v>1342</v>
      </c>
      <c r="K96" s="4" t="s">
        <v>98</v>
      </c>
    </row>
    <row r="97" customFormat="false" ht="15" hidden="false" customHeight="false" outlineLevel="0" collapsed="false">
      <c r="A97" s="4" t="s">
        <v>160</v>
      </c>
      <c r="B97" s="4" t="s">
        <v>43</v>
      </c>
      <c r="C97" s="4" t="s">
        <v>73</v>
      </c>
      <c r="D97" s="4" t="s">
        <v>84</v>
      </c>
      <c r="E97" s="12" t="n">
        <v>0</v>
      </c>
      <c r="F97" s="13" t="n">
        <v>2</v>
      </c>
      <c r="G97" s="13" t="n">
        <v>2</v>
      </c>
      <c r="H97" s="13" t="n">
        <v>0</v>
      </c>
      <c r="I97" s="13" t="n">
        <v>0</v>
      </c>
      <c r="J97" s="13" t="n">
        <v>1</v>
      </c>
      <c r="K97" s="4" t="s">
        <v>98</v>
      </c>
    </row>
    <row r="98" customFormat="false" ht="15" hidden="false" customHeight="false" outlineLevel="0" collapsed="false">
      <c r="A98" s="4" t="s">
        <v>161</v>
      </c>
      <c r="B98" s="4" t="s">
        <v>43</v>
      </c>
      <c r="C98" s="4" t="s">
        <v>73</v>
      </c>
      <c r="D98" s="4" t="s">
        <v>83</v>
      </c>
      <c r="E98" s="12" t="n">
        <v>2.57</v>
      </c>
      <c r="F98" s="13" t="n">
        <v>1242</v>
      </c>
      <c r="G98" s="13" t="n">
        <v>499</v>
      </c>
      <c r="H98" s="13" t="n">
        <v>0</v>
      </c>
      <c r="I98" s="13" t="n">
        <v>0</v>
      </c>
      <c r="J98" s="13" t="n">
        <v>1213</v>
      </c>
      <c r="K98" s="4" t="s">
        <v>98</v>
      </c>
    </row>
    <row r="99" customFormat="false" ht="15" hidden="false" customHeight="false" outlineLevel="0" collapsed="false">
      <c r="A99" s="4" t="s">
        <v>161</v>
      </c>
      <c r="B99" s="4" t="s">
        <v>43</v>
      </c>
      <c r="C99" s="4" t="s">
        <v>73</v>
      </c>
      <c r="D99" s="4" t="s">
        <v>84</v>
      </c>
      <c r="E99" s="12" t="n">
        <v>0</v>
      </c>
      <c r="F99" s="13" t="n">
        <v>1</v>
      </c>
      <c r="G99" s="13" t="n">
        <v>1</v>
      </c>
      <c r="H99" s="13" t="n">
        <v>0</v>
      </c>
      <c r="I99" s="13" t="n">
        <v>0</v>
      </c>
      <c r="J99" s="13" t="n">
        <v>0</v>
      </c>
      <c r="K99" s="4" t="s">
        <v>98</v>
      </c>
    </row>
    <row r="100" customFormat="false" ht="15" hidden="false" customHeight="false" outlineLevel="0" collapsed="false">
      <c r="A100" s="4" t="s">
        <v>162</v>
      </c>
      <c r="B100" s="4" t="s">
        <v>43</v>
      </c>
      <c r="C100" s="4" t="s">
        <v>73</v>
      </c>
      <c r="D100" s="4" t="s">
        <v>83</v>
      </c>
      <c r="E100" s="12" t="n">
        <v>2.75</v>
      </c>
      <c r="F100" s="13" t="n">
        <v>1243</v>
      </c>
      <c r="G100" s="13" t="n">
        <v>527</v>
      </c>
      <c r="H100" s="13" t="n">
        <v>0</v>
      </c>
      <c r="I100" s="13" t="n">
        <v>0</v>
      </c>
      <c r="J100" s="13" t="n">
        <v>1229</v>
      </c>
      <c r="K100" s="4" t="s">
        <v>98</v>
      </c>
    </row>
    <row r="101" customFormat="false" ht="15" hidden="false" customHeight="false" outlineLevel="0" collapsed="false">
      <c r="A101" s="4" t="s">
        <v>163</v>
      </c>
      <c r="B101" s="4" t="s">
        <v>43</v>
      </c>
      <c r="C101" s="4" t="s">
        <v>73</v>
      </c>
      <c r="D101" s="4" t="s">
        <v>83</v>
      </c>
      <c r="E101" s="12" t="n">
        <v>2.22</v>
      </c>
      <c r="F101" s="13" t="n">
        <v>980</v>
      </c>
      <c r="G101" s="13" t="n">
        <v>424</v>
      </c>
      <c r="H101" s="13" t="n">
        <v>0</v>
      </c>
      <c r="I101" s="13" t="n">
        <v>0</v>
      </c>
      <c r="J101" s="13" t="n">
        <v>970</v>
      </c>
      <c r="K101" s="4" t="s">
        <v>98</v>
      </c>
    </row>
    <row r="102" customFormat="false" ht="15" hidden="false" customHeight="false" outlineLevel="0" collapsed="false">
      <c r="A102" s="4" t="s">
        <v>164</v>
      </c>
      <c r="B102" s="4" t="s">
        <v>43</v>
      </c>
      <c r="C102" s="4" t="s">
        <v>73</v>
      </c>
      <c r="D102" s="4" t="s">
        <v>83</v>
      </c>
      <c r="E102" s="12" t="n">
        <v>2.88</v>
      </c>
      <c r="F102" s="13" t="n">
        <v>1130</v>
      </c>
      <c r="G102" s="13" t="n">
        <v>489</v>
      </c>
      <c r="H102" s="13" t="n">
        <v>0</v>
      </c>
      <c r="I102" s="13" t="n">
        <v>0</v>
      </c>
      <c r="J102" s="13" t="n">
        <v>1109</v>
      </c>
      <c r="K102" s="4" t="s">
        <v>98</v>
      </c>
    </row>
    <row r="103" customFormat="false" ht="15" hidden="false" customHeight="false" outlineLevel="0" collapsed="false">
      <c r="A103" s="4" t="s">
        <v>165</v>
      </c>
      <c r="B103" s="4" t="s">
        <v>43</v>
      </c>
      <c r="C103" s="4" t="s">
        <v>73</v>
      </c>
      <c r="D103" s="4" t="s">
        <v>83</v>
      </c>
      <c r="E103" s="12" t="n">
        <v>2.99</v>
      </c>
      <c r="F103" s="13" t="n">
        <v>1205</v>
      </c>
      <c r="G103" s="13" t="n">
        <v>551</v>
      </c>
      <c r="H103" s="13" t="n">
        <v>0</v>
      </c>
      <c r="I103" s="13" t="n">
        <v>0</v>
      </c>
      <c r="J103" s="13" t="n">
        <v>1186</v>
      </c>
      <c r="K103" s="4" t="s">
        <v>98</v>
      </c>
    </row>
    <row r="104" customFormat="false" ht="15" hidden="false" customHeight="false" outlineLevel="0" collapsed="false">
      <c r="A104" s="4" t="s">
        <v>166</v>
      </c>
      <c r="B104" s="4" t="s">
        <v>43</v>
      </c>
      <c r="C104" s="4" t="s">
        <v>73</v>
      </c>
      <c r="D104" s="4" t="s">
        <v>83</v>
      </c>
      <c r="E104" s="12" t="n">
        <v>3.71</v>
      </c>
      <c r="F104" s="13" t="n">
        <v>1561</v>
      </c>
      <c r="G104" s="13" t="n">
        <v>650</v>
      </c>
      <c r="H104" s="13" t="n">
        <v>0</v>
      </c>
      <c r="I104" s="13" t="n">
        <v>0</v>
      </c>
      <c r="J104" s="13" t="n">
        <v>1530</v>
      </c>
      <c r="K104" s="4" t="s">
        <v>98</v>
      </c>
    </row>
    <row r="105" customFormat="false" ht="15" hidden="false" customHeight="false" outlineLevel="0" collapsed="false">
      <c r="A105" s="4" t="s">
        <v>166</v>
      </c>
      <c r="B105" s="4" t="s">
        <v>43</v>
      </c>
      <c r="C105" s="4" t="s">
        <v>73</v>
      </c>
      <c r="D105" s="4" t="s">
        <v>84</v>
      </c>
      <c r="E105" s="12" t="n">
        <v>0</v>
      </c>
      <c r="F105" s="13" t="n">
        <v>1</v>
      </c>
      <c r="G105" s="13" t="n">
        <v>1</v>
      </c>
      <c r="H105" s="13" t="n">
        <v>0</v>
      </c>
      <c r="I105" s="13" t="n">
        <v>0</v>
      </c>
      <c r="J105" s="13" t="n">
        <v>1</v>
      </c>
      <c r="K105" s="4" t="s">
        <v>98</v>
      </c>
    </row>
    <row r="106" customFormat="false" ht="15" hidden="false" customHeight="false" outlineLevel="0" collapsed="false">
      <c r="A106" s="4" t="s">
        <v>167</v>
      </c>
      <c r="B106" s="4" t="s">
        <v>43</v>
      </c>
      <c r="C106" s="4" t="s">
        <v>73</v>
      </c>
      <c r="D106" s="4" t="s">
        <v>83</v>
      </c>
      <c r="E106" s="12" t="n">
        <v>2.87</v>
      </c>
      <c r="F106" s="13" t="n">
        <v>1181</v>
      </c>
      <c r="G106" s="13" t="n">
        <v>520</v>
      </c>
      <c r="H106" s="13" t="n">
        <v>0</v>
      </c>
      <c r="I106" s="13" t="n">
        <v>0</v>
      </c>
      <c r="J106" s="13" t="n">
        <v>1166</v>
      </c>
      <c r="K106" s="4" t="s">
        <v>98</v>
      </c>
    </row>
    <row r="107" customFormat="false" ht="15" hidden="false" customHeight="false" outlineLevel="0" collapsed="false">
      <c r="A107" s="4" t="s">
        <v>167</v>
      </c>
      <c r="B107" s="4" t="s">
        <v>43</v>
      </c>
      <c r="C107" s="4" t="s">
        <v>73</v>
      </c>
      <c r="D107" s="4" t="s">
        <v>84</v>
      </c>
      <c r="E107" s="12" t="n">
        <v>0</v>
      </c>
      <c r="F107" s="13" t="n">
        <v>1</v>
      </c>
      <c r="G107" s="13" t="n">
        <v>1</v>
      </c>
      <c r="H107" s="13" t="n">
        <v>0</v>
      </c>
      <c r="I107" s="13" t="n">
        <v>0</v>
      </c>
      <c r="J107" s="13" t="n">
        <v>1</v>
      </c>
      <c r="K107" s="4" t="s">
        <v>98</v>
      </c>
    </row>
    <row r="108" customFormat="false" ht="15" hidden="false" customHeight="false" outlineLevel="0" collapsed="false">
      <c r="A108" s="4" t="s">
        <v>168</v>
      </c>
      <c r="B108" s="4" t="s">
        <v>43</v>
      </c>
      <c r="C108" s="4" t="s">
        <v>73</v>
      </c>
      <c r="D108" s="4" t="s">
        <v>83</v>
      </c>
      <c r="E108" s="12" t="n">
        <v>3</v>
      </c>
      <c r="F108" s="13" t="n">
        <v>1026</v>
      </c>
      <c r="G108" s="13" t="n">
        <v>412</v>
      </c>
      <c r="H108" s="13" t="n">
        <v>0</v>
      </c>
      <c r="I108" s="13" t="n">
        <v>0</v>
      </c>
      <c r="J108" s="13" t="n">
        <v>1008</v>
      </c>
      <c r="K108" s="4" t="s">
        <v>98</v>
      </c>
    </row>
    <row r="109" customFormat="false" ht="15" hidden="false" customHeight="false" outlineLevel="0" collapsed="false">
      <c r="A109" s="4" t="s">
        <v>168</v>
      </c>
      <c r="B109" s="4" t="s">
        <v>43</v>
      </c>
      <c r="C109" s="4" t="s">
        <v>73</v>
      </c>
      <c r="D109" s="4" t="s">
        <v>84</v>
      </c>
      <c r="E109" s="12" t="n">
        <v>0</v>
      </c>
      <c r="F109" s="13" t="n">
        <v>1</v>
      </c>
      <c r="G109" s="13" t="n">
        <v>1</v>
      </c>
      <c r="H109" s="13" t="n">
        <v>0</v>
      </c>
      <c r="I109" s="13" t="n">
        <v>0</v>
      </c>
      <c r="J109" s="13" t="n">
        <v>0</v>
      </c>
      <c r="K109" s="4" t="s">
        <v>98</v>
      </c>
    </row>
    <row r="110" customFormat="false" ht="15" hidden="false" customHeight="false" outlineLevel="0" collapsed="false">
      <c r="A110" s="4" t="s">
        <v>169</v>
      </c>
      <c r="B110" s="4" t="s">
        <v>43</v>
      </c>
      <c r="C110" s="4" t="s">
        <v>73</v>
      </c>
      <c r="D110" s="4" t="s">
        <v>83</v>
      </c>
      <c r="E110" s="12" t="n">
        <v>3.27</v>
      </c>
      <c r="F110" s="13" t="n">
        <v>1089</v>
      </c>
      <c r="G110" s="13" t="n">
        <v>515</v>
      </c>
      <c r="H110" s="13" t="n">
        <v>0</v>
      </c>
      <c r="I110" s="13" t="n">
        <v>0</v>
      </c>
      <c r="J110" s="13" t="n">
        <v>1049</v>
      </c>
      <c r="K110" s="4" t="s">
        <v>98</v>
      </c>
    </row>
    <row r="111" customFormat="false" ht="15" hidden="false" customHeight="false" outlineLevel="0" collapsed="false">
      <c r="A111" s="4" t="s">
        <v>170</v>
      </c>
      <c r="B111" s="4" t="s">
        <v>43</v>
      </c>
      <c r="C111" s="4" t="s">
        <v>73</v>
      </c>
      <c r="D111" s="4" t="s">
        <v>83</v>
      </c>
      <c r="E111" s="12" t="n">
        <v>2.98</v>
      </c>
      <c r="F111" s="13" t="n">
        <v>912</v>
      </c>
      <c r="G111" s="13" t="n">
        <v>439</v>
      </c>
      <c r="H111" s="13" t="n">
        <v>0</v>
      </c>
      <c r="I111" s="13" t="n">
        <v>0</v>
      </c>
      <c r="J111" s="13" t="n">
        <v>888</v>
      </c>
      <c r="K111" s="4" t="s">
        <v>98</v>
      </c>
    </row>
    <row r="112" customFormat="false" ht="15" hidden="false" customHeight="false" outlineLevel="0" collapsed="false">
      <c r="A112" s="4" t="s">
        <v>170</v>
      </c>
      <c r="B112" s="4" t="s">
        <v>45</v>
      </c>
      <c r="C112" s="4" t="s">
        <v>77</v>
      </c>
      <c r="D112" s="4" t="s">
        <v>84</v>
      </c>
      <c r="E112" s="12" t="n">
        <v>1.06</v>
      </c>
      <c r="F112" s="13" t="n">
        <v>332</v>
      </c>
      <c r="G112" s="13" t="n">
        <v>298</v>
      </c>
      <c r="H112" s="13" t="n">
        <v>12</v>
      </c>
      <c r="I112" s="13" t="n">
        <v>7</v>
      </c>
      <c r="J112" s="13" t="n">
        <v>68</v>
      </c>
      <c r="K112" s="4" t="s">
        <v>98</v>
      </c>
    </row>
    <row r="113" customFormat="false" ht="15" hidden="false" customHeight="false" outlineLevel="0" collapsed="false">
      <c r="A113" s="4" t="s">
        <v>170</v>
      </c>
      <c r="B113" s="4" t="s">
        <v>45</v>
      </c>
      <c r="C113" s="4" t="s">
        <v>77</v>
      </c>
      <c r="D113" s="4" t="s">
        <v>85</v>
      </c>
      <c r="E113" s="12" t="n">
        <v>0.43</v>
      </c>
      <c r="F113" s="13" t="n">
        <v>247</v>
      </c>
      <c r="G113" s="13" t="n">
        <v>228</v>
      </c>
      <c r="H113" s="13" t="n">
        <v>2</v>
      </c>
      <c r="I113" s="13" t="n">
        <v>2</v>
      </c>
      <c r="J113" s="13" t="n">
        <v>37</v>
      </c>
      <c r="K113" s="4" t="s">
        <v>98</v>
      </c>
    </row>
    <row r="114" customFormat="false" ht="15" hidden="false" customHeight="false" outlineLevel="0" collapsed="false">
      <c r="A114" s="4" t="s">
        <v>171</v>
      </c>
      <c r="B114" s="4" t="s">
        <v>43</v>
      </c>
      <c r="C114" s="4" t="s">
        <v>73</v>
      </c>
      <c r="D114" s="4" t="s">
        <v>83</v>
      </c>
      <c r="E114" s="12" t="n">
        <v>3.49</v>
      </c>
      <c r="F114" s="13" t="n">
        <v>968</v>
      </c>
      <c r="G114" s="13" t="n">
        <v>426</v>
      </c>
      <c r="H114" s="13" t="n">
        <v>0</v>
      </c>
      <c r="I114" s="13" t="n">
        <v>0</v>
      </c>
      <c r="J114" s="13" t="n">
        <v>954</v>
      </c>
      <c r="K114" s="4" t="s">
        <v>98</v>
      </c>
    </row>
    <row r="115" customFormat="false" ht="15" hidden="false" customHeight="false" outlineLevel="0" collapsed="false">
      <c r="A115" s="4" t="s">
        <v>171</v>
      </c>
      <c r="B115" s="4" t="s">
        <v>45</v>
      </c>
      <c r="C115" s="4" t="s">
        <v>77</v>
      </c>
      <c r="D115" s="4" t="s">
        <v>84</v>
      </c>
      <c r="E115" s="12" t="n">
        <v>1.72</v>
      </c>
      <c r="F115" s="13" t="n">
        <v>420</v>
      </c>
      <c r="G115" s="13" t="n">
        <v>401</v>
      </c>
      <c r="H115" s="13" t="n">
        <v>16</v>
      </c>
      <c r="I115" s="13" t="n">
        <v>11</v>
      </c>
      <c r="J115" s="13" t="n">
        <v>114</v>
      </c>
      <c r="K115" s="4" t="s">
        <v>98</v>
      </c>
    </row>
    <row r="116" customFormat="false" ht="15" hidden="false" customHeight="false" outlineLevel="0" collapsed="false">
      <c r="A116" s="4" t="s">
        <v>171</v>
      </c>
      <c r="B116" s="4" t="s">
        <v>45</v>
      </c>
      <c r="C116" s="4" t="s">
        <v>77</v>
      </c>
      <c r="D116" s="4" t="s">
        <v>85</v>
      </c>
      <c r="E116" s="12" t="n">
        <v>0.78</v>
      </c>
      <c r="F116" s="13" t="n">
        <v>312</v>
      </c>
      <c r="G116" s="13" t="n">
        <v>295</v>
      </c>
      <c r="H116" s="13" t="n">
        <v>3</v>
      </c>
      <c r="I116" s="13" t="n">
        <v>3</v>
      </c>
      <c r="J116" s="13" t="n">
        <v>36</v>
      </c>
      <c r="K116" s="4" t="s">
        <v>98</v>
      </c>
    </row>
    <row r="117" customFormat="false" ht="15" hidden="false" customHeight="false" outlineLevel="0" collapsed="false">
      <c r="A117" s="4" t="s">
        <v>172</v>
      </c>
      <c r="B117" s="4" t="s">
        <v>43</v>
      </c>
      <c r="C117" s="4" t="s">
        <v>73</v>
      </c>
      <c r="D117" s="4" t="s">
        <v>83</v>
      </c>
      <c r="E117" s="12" t="n">
        <v>3.4</v>
      </c>
      <c r="F117" s="13" t="n">
        <v>1043</v>
      </c>
      <c r="G117" s="13" t="n">
        <v>485</v>
      </c>
      <c r="H117" s="13" t="n">
        <v>0</v>
      </c>
      <c r="I117" s="13" t="n">
        <v>0</v>
      </c>
      <c r="J117" s="13" t="n">
        <v>1022</v>
      </c>
      <c r="K117" s="4" t="s">
        <v>98</v>
      </c>
    </row>
    <row r="118" customFormat="false" ht="15" hidden="false" customHeight="false" outlineLevel="0" collapsed="false">
      <c r="A118" s="4" t="s">
        <v>172</v>
      </c>
      <c r="B118" s="4" t="s">
        <v>43</v>
      </c>
      <c r="C118" s="4" t="s">
        <v>73</v>
      </c>
      <c r="D118" s="4" t="s">
        <v>84</v>
      </c>
      <c r="E118" s="12" t="n">
        <v>0</v>
      </c>
      <c r="F118" s="13" t="n">
        <v>1</v>
      </c>
      <c r="G118" s="13" t="n">
        <v>1</v>
      </c>
      <c r="H118" s="13" t="n">
        <v>0</v>
      </c>
      <c r="I118" s="13" t="n">
        <v>0</v>
      </c>
      <c r="J118" s="13" t="n">
        <v>1</v>
      </c>
      <c r="K118" s="4" t="s">
        <v>98</v>
      </c>
    </row>
    <row r="119" customFormat="false" ht="15" hidden="false" customHeight="false" outlineLevel="0" collapsed="false">
      <c r="A119" s="4" t="s">
        <v>172</v>
      </c>
      <c r="B119" s="4" t="s">
        <v>45</v>
      </c>
      <c r="C119" s="4" t="s">
        <v>77</v>
      </c>
      <c r="D119" s="4" t="s">
        <v>84</v>
      </c>
      <c r="E119" s="12" t="n">
        <v>2.31</v>
      </c>
      <c r="F119" s="13" t="n">
        <v>604</v>
      </c>
      <c r="G119" s="13" t="n">
        <v>568</v>
      </c>
      <c r="H119" s="13" t="n">
        <v>18</v>
      </c>
      <c r="I119" s="13" t="n">
        <v>16</v>
      </c>
      <c r="J119" s="13" t="n">
        <v>152</v>
      </c>
      <c r="K119" s="4" t="s">
        <v>98</v>
      </c>
    </row>
    <row r="120" customFormat="false" ht="15" hidden="false" customHeight="false" outlineLevel="0" collapsed="false">
      <c r="A120" s="4" t="s">
        <v>172</v>
      </c>
      <c r="B120" s="4" t="s">
        <v>45</v>
      </c>
      <c r="C120" s="4" t="s">
        <v>77</v>
      </c>
      <c r="D120" s="4" t="s">
        <v>85</v>
      </c>
      <c r="E120" s="12" t="n">
        <v>0.61</v>
      </c>
      <c r="F120" s="13" t="n">
        <v>287</v>
      </c>
      <c r="G120" s="13" t="n">
        <v>273</v>
      </c>
      <c r="H120" s="13" t="n">
        <v>3</v>
      </c>
      <c r="I120" s="13" t="n">
        <v>3</v>
      </c>
      <c r="J120" s="13" t="n">
        <v>38</v>
      </c>
      <c r="K120" s="4" t="s">
        <v>98</v>
      </c>
    </row>
    <row r="121" customFormat="false" ht="15" hidden="false" customHeight="false" outlineLevel="0" collapsed="false">
      <c r="A121" s="4" t="s">
        <v>173</v>
      </c>
      <c r="B121" s="4" t="s">
        <v>43</v>
      </c>
      <c r="C121" s="4" t="s">
        <v>73</v>
      </c>
      <c r="D121" s="4" t="s">
        <v>83</v>
      </c>
      <c r="E121" s="12" t="n">
        <v>2.45</v>
      </c>
      <c r="F121" s="13" t="n">
        <v>739</v>
      </c>
      <c r="G121" s="13" t="n">
        <v>353</v>
      </c>
      <c r="H121" s="13" t="n">
        <v>0</v>
      </c>
      <c r="I121" s="13" t="n">
        <v>0</v>
      </c>
      <c r="J121" s="13" t="n">
        <v>708</v>
      </c>
      <c r="K121" s="4" t="s">
        <v>98</v>
      </c>
    </row>
    <row r="122" customFormat="false" ht="15" hidden="false" customHeight="false" outlineLevel="0" collapsed="false">
      <c r="A122" s="4" t="s">
        <v>173</v>
      </c>
      <c r="B122" s="4" t="s">
        <v>45</v>
      </c>
      <c r="C122" s="4" t="s">
        <v>77</v>
      </c>
      <c r="D122" s="4" t="s">
        <v>84</v>
      </c>
      <c r="E122" s="12" t="n">
        <v>2.19</v>
      </c>
      <c r="F122" s="13" t="n">
        <v>509</v>
      </c>
      <c r="G122" s="13" t="n">
        <v>480</v>
      </c>
      <c r="H122" s="13" t="n">
        <v>32</v>
      </c>
      <c r="I122" s="13" t="n">
        <v>19</v>
      </c>
      <c r="J122" s="13" t="n">
        <v>134</v>
      </c>
      <c r="K122" s="4" t="s">
        <v>98</v>
      </c>
    </row>
    <row r="123" customFormat="false" ht="15" hidden="false" customHeight="false" outlineLevel="0" collapsed="false">
      <c r="A123" s="4" t="s">
        <v>173</v>
      </c>
      <c r="B123" s="4" t="s">
        <v>45</v>
      </c>
      <c r="C123" s="4" t="s">
        <v>77</v>
      </c>
      <c r="D123" s="4" t="s">
        <v>85</v>
      </c>
      <c r="E123" s="12" t="n">
        <v>0.67</v>
      </c>
      <c r="F123" s="13" t="n">
        <v>275</v>
      </c>
      <c r="G123" s="13" t="n">
        <v>264</v>
      </c>
      <c r="H123" s="13" t="n">
        <v>5</v>
      </c>
      <c r="I123" s="13" t="n">
        <v>5</v>
      </c>
      <c r="J123" s="13" t="n">
        <v>40</v>
      </c>
      <c r="K123" s="4" t="s">
        <v>98</v>
      </c>
    </row>
    <row r="124" customFormat="false" ht="15" hidden="false" customHeight="false" outlineLevel="0" collapsed="false">
      <c r="A124" s="4" t="s">
        <v>174</v>
      </c>
      <c r="B124" s="4" t="s">
        <v>43</v>
      </c>
      <c r="C124" s="4" t="s">
        <v>73</v>
      </c>
      <c r="D124" s="4" t="s">
        <v>83</v>
      </c>
      <c r="E124" s="12" t="n">
        <v>3.19</v>
      </c>
      <c r="F124" s="13" t="n">
        <v>935</v>
      </c>
      <c r="G124" s="13" t="n">
        <v>430</v>
      </c>
      <c r="H124" s="13" t="n">
        <v>0</v>
      </c>
      <c r="I124" s="13" t="n">
        <v>0</v>
      </c>
      <c r="J124" s="13" t="n">
        <v>909</v>
      </c>
      <c r="K124" s="4" t="s">
        <v>98</v>
      </c>
    </row>
    <row r="125" customFormat="false" ht="15" hidden="false" customHeight="false" outlineLevel="0" collapsed="false">
      <c r="A125" s="4" t="s">
        <v>174</v>
      </c>
      <c r="B125" s="4" t="s">
        <v>45</v>
      </c>
      <c r="C125" s="4" t="s">
        <v>77</v>
      </c>
      <c r="D125" s="4" t="s">
        <v>84</v>
      </c>
      <c r="E125" s="12" t="n">
        <v>2.26</v>
      </c>
      <c r="F125" s="13" t="n">
        <v>359</v>
      </c>
      <c r="G125" s="13" t="n">
        <v>343</v>
      </c>
      <c r="H125" s="13" t="n">
        <v>19</v>
      </c>
      <c r="I125" s="13" t="n">
        <v>16</v>
      </c>
      <c r="J125" s="13" t="n">
        <v>102</v>
      </c>
      <c r="K125" s="4" t="s">
        <v>98</v>
      </c>
    </row>
    <row r="126" customFormat="false" ht="15" hidden="false" customHeight="false" outlineLevel="0" collapsed="false">
      <c r="A126" s="4" t="s">
        <v>174</v>
      </c>
      <c r="B126" s="4" t="s">
        <v>45</v>
      </c>
      <c r="C126" s="4" t="s">
        <v>77</v>
      </c>
      <c r="D126" s="4" t="s">
        <v>85</v>
      </c>
      <c r="E126" s="12" t="n">
        <v>0.69</v>
      </c>
      <c r="F126" s="13" t="n">
        <v>260</v>
      </c>
      <c r="G126" s="13" t="n">
        <v>244</v>
      </c>
      <c r="H126" s="13" t="n">
        <v>8</v>
      </c>
      <c r="I126" s="13" t="n">
        <v>8</v>
      </c>
      <c r="J126" s="13" t="n">
        <v>40</v>
      </c>
      <c r="K126" s="4" t="s">
        <v>98</v>
      </c>
    </row>
    <row r="127" customFormat="false" ht="15" hidden="false" customHeight="false" outlineLevel="0" collapsed="false">
      <c r="A127" s="4" t="s">
        <v>175</v>
      </c>
      <c r="B127" s="4" t="s">
        <v>43</v>
      </c>
      <c r="C127" s="4" t="s">
        <v>73</v>
      </c>
      <c r="D127" s="4" t="s">
        <v>83</v>
      </c>
      <c r="E127" s="12" t="n">
        <v>2.74</v>
      </c>
      <c r="F127" s="13" t="n">
        <v>793</v>
      </c>
      <c r="G127" s="13" t="n">
        <v>352</v>
      </c>
      <c r="H127" s="13" t="n">
        <v>0</v>
      </c>
      <c r="I127" s="13" t="n">
        <v>0</v>
      </c>
      <c r="J127" s="13" t="n">
        <v>772</v>
      </c>
      <c r="K127" s="4" t="s">
        <v>98</v>
      </c>
    </row>
    <row r="128" customFormat="false" ht="15" hidden="false" customHeight="false" outlineLevel="0" collapsed="false">
      <c r="A128" s="4" t="s">
        <v>175</v>
      </c>
      <c r="B128" s="4" t="s">
        <v>45</v>
      </c>
      <c r="C128" s="4" t="s">
        <v>77</v>
      </c>
      <c r="D128" s="4" t="s">
        <v>84</v>
      </c>
      <c r="E128" s="12" t="n">
        <v>2.16</v>
      </c>
      <c r="F128" s="13" t="n">
        <v>348</v>
      </c>
      <c r="G128" s="13" t="n">
        <v>343</v>
      </c>
      <c r="H128" s="13" t="n">
        <v>20</v>
      </c>
      <c r="I128" s="13" t="n">
        <v>16</v>
      </c>
      <c r="J128" s="13" t="n">
        <v>92</v>
      </c>
      <c r="K128" s="4" t="s">
        <v>98</v>
      </c>
    </row>
    <row r="129" customFormat="false" ht="15" hidden="false" customHeight="false" outlineLevel="0" collapsed="false">
      <c r="A129" s="4" t="s">
        <v>175</v>
      </c>
      <c r="B129" s="4" t="s">
        <v>45</v>
      </c>
      <c r="C129" s="4" t="s">
        <v>77</v>
      </c>
      <c r="D129" s="4" t="s">
        <v>85</v>
      </c>
      <c r="E129" s="12" t="n">
        <v>0.75</v>
      </c>
      <c r="F129" s="13" t="n">
        <v>253</v>
      </c>
      <c r="G129" s="13" t="n">
        <v>246</v>
      </c>
      <c r="H129" s="13" t="n">
        <v>5</v>
      </c>
      <c r="I129" s="13" t="n">
        <v>5</v>
      </c>
      <c r="J129" s="13" t="n">
        <v>46</v>
      </c>
      <c r="K129" s="4" t="s">
        <v>98</v>
      </c>
    </row>
    <row r="130" customFormat="false" ht="15" hidden="false" customHeight="false" outlineLevel="0" collapsed="false">
      <c r="A130" s="4" t="s">
        <v>176</v>
      </c>
      <c r="B130" s="4" t="s">
        <v>43</v>
      </c>
      <c r="C130" s="4" t="s">
        <v>73</v>
      </c>
      <c r="D130" s="4" t="s">
        <v>83</v>
      </c>
      <c r="E130" s="12" t="n">
        <v>2.96</v>
      </c>
      <c r="F130" s="13" t="n">
        <v>809</v>
      </c>
      <c r="G130" s="13" t="n">
        <v>337</v>
      </c>
      <c r="H130" s="13" t="n">
        <v>0</v>
      </c>
      <c r="I130" s="13" t="n">
        <v>0</v>
      </c>
      <c r="J130" s="13" t="n">
        <v>800</v>
      </c>
      <c r="K130" s="4" t="s">
        <v>98</v>
      </c>
    </row>
    <row r="131" customFormat="false" ht="15" hidden="false" customHeight="false" outlineLevel="0" collapsed="false">
      <c r="A131" s="4" t="s">
        <v>176</v>
      </c>
      <c r="B131" s="4" t="s">
        <v>45</v>
      </c>
      <c r="C131" s="4" t="s">
        <v>77</v>
      </c>
      <c r="D131" s="4" t="s">
        <v>84</v>
      </c>
      <c r="E131" s="12" t="n">
        <v>2.07</v>
      </c>
      <c r="F131" s="13" t="n">
        <v>346</v>
      </c>
      <c r="G131" s="13" t="n">
        <v>337</v>
      </c>
      <c r="H131" s="13" t="n">
        <v>21</v>
      </c>
      <c r="I131" s="13" t="n">
        <v>20</v>
      </c>
      <c r="J131" s="13" t="n">
        <v>111</v>
      </c>
      <c r="K131" s="4" t="s">
        <v>98</v>
      </c>
    </row>
    <row r="132" customFormat="false" ht="15" hidden="false" customHeight="false" outlineLevel="0" collapsed="false">
      <c r="A132" s="4" t="s">
        <v>176</v>
      </c>
      <c r="B132" s="4" t="s">
        <v>45</v>
      </c>
      <c r="C132" s="4" t="s">
        <v>77</v>
      </c>
      <c r="D132" s="4" t="s">
        <v>85</v>
      </c>
      <c r="E132" s="12" t="n">
        <v>0.56</v>
      </c>
      <c r="F132" s="13" t="n">
        <v>230</v>
      </c>
      <c r="G132" s="13" t="n">
        <v>222</v>
      </c>
      <c r="H132" s="13" t="n">
        <v>4</v>
      </c>
      <c r="I132" s="13" t="n">
        <v>4</v>
      </c>
      <c r="J132" s="13" t="n">
        <v>47</v>
      </c>
      <c r="K132" s="4" t="s">
        <v>98</v>
      </c>
    </row>
    <row r="133" customFormat="false" ht="15" hidden="false" customHeight="false" outlineLevel="0" collapsed="false">
      <c r="A133" s="4" t="s">
        <v>177</v>
      </c>
      <c r="B133" s="4" t="s">
        <v>43</v>
      </c>
      <c r="C133" s="4" t="s">
        <v>73</v>
      </c>
      <c r="D133" s="4" t="s">
        <v>83</v>
      </c>
      <c r="E133" s="12" t="n">
        <v>2.48</v>
      </c>
      <c r="F133" s="13" t="n">
        <v>634</v>
      </c>
      <c r="G133" s="13" t="n">
        <v>265</v>
      </c>
      <c r="H133" s="13" t="n">
        <v>0</v>
      </c>
      <c r="I133" s="13" t="n">
        <v>0</v>
      </c>
      <c r="J133" s="13" t="n">
        <v>621</v>
      </c>
      <c r="K133" s="4" t="s">
        <v>98</v>
      </c>
    </row>
    <row r="134" customFormat="false" ht="15" hidden="false" customHeight="false" outlineLevel="0" collapsed="false">
      <c r="A134" s="4" t="s">
        <v>177</v>
      </c>
      <c r="B134" s="4" t="s">
        <v>43</v>
      </c>
      <c r="C134" s="4" t="s">
        <v>73</v>
      </c>
      <c r="D134" s="4" t="s">
        <v>84</v>
      </c>
      <c r="E134" s="12" t="n">
        <v>0</v>
      </c>
      <c r="F134" s="13" t="n">
        <v>1</v>
      </c>
      <c r="G134" s="13" t="n">
        <v>1</v>
      </c>
      <c r="H134" s="13" t="n">
        <v>0</v>
      </c>
      <c r="I134" s="13" t="n">
        <v>0</v>
      </c>
      <c r="J134" s="13" t="n">
        <v>0</v>
      </c>
      <c r="K134" s="4" t="s">
        <v>98</v>
      </c>
    </row>
    <row r="135" customFormat="false" ht="15" hidden="false" customHeight="false" outlineLevel="0" collapsed="false">
      <c r="A135" s="4" t="s">
        <v>177</v>
      </c>
      <c r="B135" s="4" t="s">
        <v>45</v>
      </c>
      <c r="C135" s="4" t="s">
        <v>77</v>
      </c>
      <c r="D135" s="4" t="s">
        <v>84</v>
      </c>
      <c r="E135" s="12" t="n">
        <v>2.01</v>
      </c>
      <c r="F135" s="13" t="n">
        <v>349</v>
      </c>
      <c r="G135" s="13" t="n">
        <v>346</v>
      </c>
      <c r="H135" s="13" t="n">
        <v>22</v>
      </c>
      <c r="I135" s="13" t="n">
        <v>17</v>
      </c>
      <c r="J135" s="13" t="n">
        <v>99</v>
      </c>
      <c r="K135" s="4" t="s">
        <v>98</v>
      </c>
    </row>
    <row r="136" customFormat="false" ht="15" hidden="false" customHeight="false" outlineLevel="0" collapsed="false">
      <c r="A136" s="4" t="s">
        <v>177</v>
      </c>
      <c r="B136" s="4" t="s">
        <v>45</v>
      </c>
      <c r="C136" s="4" t="s">
        <v>77</v>
      </c>
      <c r="D136" s="4" t="s">
        <v>85</v>
      </c>
      <c r="E136" s="12" t="n">
        <v>0.79</v>
      </c>
      <c r="F136" s="13" t="n">
        <v>162</v>
      </c>
      <c r="G136" s="13" t="n">
        <v>155</v>
      </c>
      <c r="H136" s="13" t="n">
        <v>5</v>
      </c>
      <c r="I136" s="13" t="n">
        <v>6</v>
      </c>
      <c r="J136" s="13" t="n">
        <v>43</v>
      </c>
      <c r="K136" s="4" t="s">
        <v>98</v>
      </c>
    </row>
    <row r="137" customFormat="false" ht="15" hidden="false" customHeight="false" outlineLevel="0" collapsed="false">
      <c r="A137" s="4" t="s">
        <v>178</v>
      </c>
      <c r="B137" s="4" t="s">
        <v>43</v>
      </c>
      <c r="C137" s="4" t="s">
        <v>73</v>
      </c>
      <c r="D137" s="4" t="s">
        <v>83</v>
      </c>
      <c r="E137" s="12" t="n">
        <v>2.87</v>
      </c>
      <c r="F137" s="13" t="n">
        <v>580</v>
      </c>
      <c r="G137" s="13" t="n">
        <v>197</v>
      </c>
      <c r="H137" s="13" t="n">
        <v>0</v>
      </c>
      <c r="I137" s="13" t="n">
        <v>0</v>
      </c>
      <c r="J137" s="13" t="n">
        <v>576</v>
      </c>
      <c r="K137" s="4" t="s">
        <v>98</v>
      </c>
    </row>
    <row r="138" customFormat="false" ht="15" hidden="false" customHeight="false" outlineLevel="0" collapsed="false">
      <c r="A138" s="4" t="s">
        <v>178</v>
      </c>
      <c r="B138" s="4" t="s">
        <v>45</v>
      </c>
      <c r="C138" s="4" t="s">
        <v>77</v>
      </c>
      <c r="D138" s="4" t="s">
        <v>84</v>
      </c>
      <c r="E138" s="12" t="n">
        <v>2.26</v>
      </c>
      <c r="F138" s="13" t="n">
        <v>408</v>
      </c>
      <c r="G138" s="13" t="n">
        <v>391</v>
      </c>
      <c r="H138" s="13" t="n">
        <v>22</v>
      </c>
      <c r="I138" s="13" t="n">
        <v>19</v>
      </c>
      <c r="J138" s="13" t="n">
        <v>140</v>
      </c>
      <c r="K138" s="4" t="s">
        <v>98</v>
      </c>
    </row>
    <row r="139" customFormat="false" ht="15" hidden="false" customHeight="false" outlineLevel="0" collapsed="false">
      <c r="A139" s="4" t="s">
        <v>178</v>
      </c>
      <c r="B139" s="4" t="s">
        <v>45</v>
      </c>
      <c r="C139" s="4" t="s">
        <v>77</v>
      </c>
      <c r="D139" s="4" t="s">
        <v>85</v>
      </c>
      <c r="E139" s="12" t="n">
        <v>0.63</v>
      </c>
      <c r="F139" s="13" t="n">
        <v>177</v>
      </c>
      <c r="G139" s="13" t="n">
        <v>175</v>
      </c>
      <c r="H139" s="13" t="n">
        <v>4</v>
      </c>
      <c r="I139" s="13" t="n">
        <v>4</v>
      </c>
      <c r="J139" s="13" t="n">
        <v>43</v>
      </c>
      <c r="K139" s="4" t="s">
        <v>98</v>
      </c>
    </row>
    <row r="140" customFormat="false" ht="15" hidden="false" customHeight="false" outlineLevel="0" collapsed="false">
      <c r="A140" s="4" t="s">
        <v>179</v>
      </c>
      <c r="B140" s="4" t="s">
        <v>43</v>
      </c>
      <c r="C140" s="4" t="s">
        <v>73</v>
      </c>
      <c r="D140" s="4" t="s">
        <v>83</v>
      </c>
      <c r="E140" s="12" t="n">
        <v>2.78</v>
      </c>
      <c r="F140" s="13" t="n">
        <v>622</v>
      </c>
      <c r="G140" s="13" t="n">
        <v>265</v>
      </c>
      <c r="H140" s="13" t="n">
        <v>0</v>
      </c>
      <c r="I140" s="13" t="n">
        <v>0</v>
      </c>
      <c r="J140" s="13" t="n">
        <v>615</v>
      </c>
      <c r="K140" s="4" t="s">
        <v>98</v>
      </c>
    </row>
    <row r="141" customFormat="false" ht="15" hidden="false" customHeight="false" outlineLevel="0" collapsed="false">
      <c r="A141" s="4" t="s">
        <v>179</v>
      </c>
      <c r="B141" s="4" t="s">
        <v>45</v>
      </c>
      <c r="C141" s="4" t="s">
        <v>77</v>
      </c>
      <c r="D141" s="4" t="s">
        <v>84</v>
      </c>
      <c r="E141" s="12" t="n">
        <v>1.94</v>
      </c>
      <c r="F141" s="13" t="n">
        <v>349</v>
      </c>
      <c r="G141" s="13" t="n">
        <v>331</v>
      </c>
      <c r="H141" s="13" t="n">
        <v>18</v>
      </c>
      <c r="I141" s="13" t="n">
        <v>17</v>
      </c>
      <c r="J141" s="13" t="n">
        <v>105</v>
      </c>
      <c r="K141" s="4" t="s">
        <v>98</v>
      </c>
    </row>
    <row r="142" customFormat="false" ht="15" hidden="false" customHeight="false" outlineLevel="0" collapsed="false">
      <c r="A142" s="4" t="s">
        <v>179</v>
      </c>
      <c r="B142" s="4" t="s">
        <v>45</v>
      </c>
      <c r="C142" s="4" t="s">
        <v>77</v>
      </c>
      <c r="D142" s="4" t="s">
        <v>85</v>
      </c>
      <c r="E142" s="12" t="n">
        <v>0.92</v>
      </c>
      <c r="F142" s="13" t="n">
        <v>278</v>
      </c>
      <c r="G142" s="13" t="n">
        <v>275</v>
      </c>
      <c r="H142" s="13" t="n">
        <v>7</v>
      </c>
      <c r="I142" s="13" t="n">
        <v>7</v>
      </c>
      <c r="J142" s="13" t="n">
        <v>44</v>
      </c>
      <c r="K142" s="4" t="s">
        <v>98</v>
      </c>
    </row>
    <row r="143" customFormat="false" ht="15" hidden="false" customHeight="false" outlineLevel="0" collapsed="false">
      <c r="A143" s="4" t="s">
        <v>180</v>
      </c>
      <c r="B143" s="4" t="s">
        <v>43</v>
      </c>
      <c r="C143" s="4" t="s">
        <v>73</v>
      </c>
      <c r="D143" s="4" t="s">
        <v>83</v>
      </c>
      <c r="E143" s="12" t="n">
        <v>3.47</v>
      </c>
      <c r="F143" s="13" t="n">
        <v>886</v>
      </c>
      <c r="G143" s="13" t="n">
        <v>384</v>
      </c>
      <c r="H143" s="13" t="n">
        <v>0</v>
      </c>
      <c r="I143" s="13" t="n">
        <v>0</v>
      </c>
      <c r="J143" s="13" t="n">
        <v>881</v>
      </c>
      <c r="K143" s="4" t="s">
        <v>98</v>
      </c>
    </row>
    <row r="144" customFormat="false" ht="15" hidden="false" customHeight="false" outlineLevel="0" collapsed="false">
      <c r="A144" s="4" t="s">
        <v>180</v>
      </c>
      <c r="B144" s="4" t="s">
        <v>45</v>
      </c>
      <c r="C144" s="4" t="s">
        <v>77</v>
      </c>
      <c r="D144" s="4" t="s">
        <v>84</v>
      </c>
      <c r="E144" s="12" t="n">
        <v>2.47</v>
      </c>
      <c r="F144" s="13" t="n">
        <v>410</v>
      </c>
      <c r="G144" s="13" t="n">
        <v>391</v>
      </c>
      <c r="H144" s="13" t="n">
        <v>28</v>
      </c>
      <c r="I144" s="13" t="n">
        <v>19</v>
      </c>
      <c r="J144" s="13" t="n">
        <v>128</v>
      </c>
      <c r="K144" s="4" t="s">
        <v>98</v>
      </c>
    </row>
    <row r="145" customFormat="false" ht="15" hidden="false" customHeight="false" outlineLevel="0" collapsed="false">
      <c r="A145" s="4" t="s">
        <v>180</v>
      </c>
      <c r="B145" s="4" t="s">
        <v>45</v>
      </c>
      <c r="C145" s="4" t="s">
        <v>77</v>
      </c>
      <c r="D145" s="4" t="s">
        <v>85</v>
      </c>
      <c r="E145" s="12" t="n">
        <v>0.63</v>
      </c>
      <c r="F145" s="13" t="n">
        <v>188</v>
      </c>
      <c r="G145" s="13" t="n">
        <v>185</v>
      </c>
      <c r="H145" s="13" t="n">
        <v>4</v>
      </c>
      <c r="I145" s="13" t="n">
        <v>4</v>
      </c>
      <c r="J145" s="13" t="n">
        <v>44</v>
      </c>
      <c r="K145" s="4" t="s">
        <v>98</v>
      </c>
    </row>
    <row r="146" customFormat="false" ht="15" hidden="false" customHeight="false" outlineLevel="0" collapsed="false">
      <c r="A146" s="4" t="s">
        <v>181</v>
      </c>
      <c r="B146" s="4" t="s">
        <v>43</v>
      </c>
      <c r="C146" s="4" t="s">
        <v>73</v>
      </c>
      <c r="D146" s="4" t="s">
        <v>83</v>
      </c>
      <c r="E146" s="12" t="n">
        <v>2.66</v>
      </c>
      <c r="F146" s="13" t="n">
        <v>802</v>
      </c>
      <c r="G146" s="13" t="n">
        <v>377</v>
      </c>
      <c r="H146" s="13" t="n">
        <v>0</v>
      </c>
      <c r="I146" s="13" t="n">
        <v>0</v>
      </c>
      <c r="J146" s="13" t="n">
        <v>798</v>
      </c>
      <c r="K146" s="4" t="s">
        <v>98</v>
      </c>
    </row>
    <row r="147" customFormat="false" ht="15" hidden="false" customHeight="false" outlineLevel="0" collapsed="false">
      <c r="A147" s="4" t="s">
        <v>181</v>
      </c>
      <c r="B147" s="4" t="s">
        <v>45</v>
      </c>
      <c r="C147" s="4" t="s">
        <v>77</v>
      </c>
      <c r="D147" s="4" t="s">
        <v>84</v>
      </c>
      <c r="E147" s="12" t="n">
        <v>2.1</v>
      </c>
      <c r="F147" s="13" t="n">
        <v>395</v>
      </c>
      <c r="G147" s="13" t="n">
        <v>378</v>
      </c>
      <c r="H147" s="13" t="n">
        <v>21</v>
      </c>
      <c r="I147" s="13" t="n">
        <v>15</v>
      </c>
      <c r="J147" s="13" t="n">
        <v>132</v>
      </c>
      <c r="K147" s="4" t="s">
        <v>98</v>
      </c>
    </row>
    <row r="148" customFormat="false" ht="15" hidden="false" customHeight="false" outlineLevel="0" collapsed="false">
      <c r="A148" s="4" t="s">
        <v>181</v>
      </c>
      <c r="B148" s="4" t="s">
        <v>45</v>
      </c>
      <c r="C148" s="4" t="s">
        <v>77</v>
      </c>
      <c r="D148" s="4" t="s">
        <v>85</v>
      </c>
      <c r="E148" s="12" t="n">
        <v>0.56</v>
      </c>
      <c r="F148" s="13" t="n">
        <v>198</v>
      </c>
      <c r="G148" s="13" t="n">
        <v>195</v>
      </c>
      <c r="H148" s="13" t="n">
        <v>3</v>
      </c>
      <c r="I148" s="13" t="n">
        <v>3</v>
      </c>
      <c r="J148" s="13" t="n">
        <v>27</v>
      </c>
      <c r="K148" s="4" t="s">
        <v>98</v>
      </c>
    </row>
    <row r="149" customFormat="false" ht="15" hidden="false" customHeight="false" outlineLevel="0" collapsed="false">
      <c r="A149" s="4" t="s">
        <v>182</v>
      </c>
      <c r="B149" s="4" t="s">
        <v>43</v>
      </c>
      <c r="C149" s="4" t="s">
        <v>73</v>
      </c>
      <c r="D149" s="4" t="s">
        <v>83</v>
      </c>
      <c r="E149" s="12" t="n">
        <v>2.66</v>
      </c>
      <c r="F149" s="13" t="n">
        <v>769</v>
      </c>
      <c r="G149" s="13" t="n">
        <v>362</v>
      </c>
      <c r="H149" s="13" t="n">
        <v>0</v>
      </c>
      <c r="I149" s="13" t="n">
        <v>0</v>
      </c>
      <c r="J149" s="13" t="n">
        <v>765</v>
      </c>
      <c r="K149" s="4" t="s">
        <v>98</v>
      </c>
    </row>
    <row r="150" customFormat="false" ht="15" hidden="false" customHeight="false" outlineLevel="0" collapsed="false">
      <c r="A150" s="4" t="s">
        <v>182</v>
      </c>
      <c r="B150" s="4" t="s">
        <v>45</v>
      </c>
      <c r="C150" s="4" t="s">
        <v>77</v>
      </c>
      <c r="D150" s="4" t="s">
        <v>84</v>
      </c>
      <c r="E150" s="12" t="n">
        <v>1.93</v>
      </c>
      <c r="F150" s="13" t="n">
        <v>437</v>
      </c>
      <c r="G150" s="13" t="n">
        <v>420</v>
      </c>
      <c r="H150" s="13" t="n">
        <v>15</v>
      </c>
      <c r="I150" s="13" t="n">
        <v>9</v>
      </c>
      <c r="J150" s="13" t="n">
        <v>121</v>
      </c>
      <c r="K150" s="4" t="s">
        <v>98</v>
      </c>
    </row>
    <row r="151" customFormat="false" ht="15" hidden="false" customHeight="false" outlineLevel="0" collapsed="false">
      <c r="A151" s="4" t="s">
        <v>182</v>
      </c>
      <c r="B151" s="4" t="s">
        <v>45</v>
      </c>
      <c r="C151" s="4" t="s">
        <v>77</v>
      </c>
      <c r="D151" s="4" t="s">
        <v>85</v>
      </c>
      <c r="E151" s="12" t="n">
        <v>0.52</v>
      </c>
      <c r="F151" s="13" t="n">
        <v>188</v>
      </c>
      <c r="G151" s="13" t="n">
        <v>181</v>
      </c>
      <c r="H151" s="13" t="n">
        <v>4</v>
      </c>
      <c r="I151" s="13" t="n">
        <v>4</v>
      </c>
      <c r="J151" s="13" t="n">
        <v>34</v>
      </c>
      <c r="K151" s="4" t="s">
        <v>98</v>
      </c>
    </row>
    <row r="152" customFormat="false" ht="15" hidden="false" customHeight="false" outlineLevel="0" collapsed="false">
      <c r="A152" s="4" t="s">
        <v>183</v>
      </c>
      <c r="B152" s="4" t="s">
        <v>43</v>
      </c>
      <c r="C152" s="4" t="s">
        <v>73</v>
      </c>
      <c r="D152" s="4" t="s">
        <v>83</v>
      </c>
      <c r="E152" s="12" t="n">
        <v>2.6</v>
      </c>
      <c r="F152" s="13" t="n">
        <v>815</v>
      </c>
      <c r="G152" s="13" t="n">
        <v>396</v>
      </c>
      <c r="H152" s="13" t="n">
        <v>0</v>
      </c>
      <c r="I152" s="13" t="n">
        <v>0</v>
      </c>
      <c r="J152" s="13" t="n">
        <v>805</v>
      </c>
      <c r="K152" s="4" t="s">
        <v>98</v>
      </c>
    </row>
    <row r="153" customFormat="false" ht="15" hidden="false" customHeight="false" outlineLevel="0" collapsed="false">
      <c r="A153" s="4" t="s">
        <v>183</v>
      </c>
      <c r="B153" s="4" t="s">
        <v>45</v>
      </c>
      <c r="C153" s="4" t="s">
        <v>77</v>
      </c>
      <c r="D153" s="4" t="s">
        <v>84</v>
      </c>
      <c r="E153" s="12" t="n">
        <v>1.37</v>
      </c>
      <c r="F153" s="13" t="n">
        <v>354</v>
      </c>
      <c r="G153" s="13" t="n">
        <v>342</v>
      </c>
      <c r="H153" s="13" t="n">
        <v>12</v>
      </c>
      <c r="I153" s="13" t="n">
        <v>7</v>
      </c>
      <c r="J153" s="13" t="n">
        <v>119</v>
      </c>
      <c r="K153" s="4" t="s">
        <v>98</v>
      </c>
    </row>
    <row r="154" customFormat="false" ht="15" hidden="false" customHeight="false" outlineLevel="0" collapsed="false">
      <c r="A154" s="4" t="s">
        <v>183</v>
      </c>
      <c r="B154" s="4" t="s">
        <v>45</v>
      </c>
      <c r="C154" s="4" t="s">
        <v>77</v>
      </c>
      <c r="D154" s="4" t="s">
        <v>85</v>
      </c>
      <c r="E154" s="12" t="n">
        <v>0.71</v>
      </c>
      <c r="F154" s="13" t="n">
        <v>246</v>
      </c>
      <c r="G154" s="13" t="n">
        <v>242</v>
      </c>
      <c r="H154" s="13" t="n">
        <v>8</v>
      </c>
      <c r="I154" s="13" t="n">
        <v>8</v>
      </c>
      <c r="J154" s="13" t="n">
        <v>42</v>
      </c>
      <c r="K154" s="4" t="s">
        <v>98</v>
      </c>
    </row>
    <row r="155" customFormat="false" ht="15" hidden="false" customHeight="false" outlineLevel="0" collapsed="false">
      <c r="A155" s="4" t="s">
        <v>184</v>
      </c>
      <c r="B155" s="4" t="s">
        <v>43</v>
      </c>
      <c r="C155" s="4" t="s">
        <v>73</v>
      </c>
      <c r="D155" s="4" t="s">
        <v>83</v>
      </c>
      <c r="E155" s="12" t="n">
        <v>2.62</v>
      </c>
      <c r="F155" s="13" t="n">
        <v>709</v>
      </c>
      <c r="G155" s="13" t="n">
        <v>349</v>
      </c>
      <c r="H155" s="13" t="n">
        <v>0</v>
      </c>
      <c r="I155" s="13" t="n">
        <v>0</v>
      </c>
      <c r="J155" s="13" t="n">
        <v>703</v>
      </c>
      <c r="K155" s="4" t="s">
        <v>98</v>
      </c>
    </row>
    <row r="156" customFormat="false" ht="15" hidden="false" customHeight="false" outlineLevel="0" collapsed="false">
      <c r="A156" s="4" t="s">
        <v>184</v>
      </c>
      <c r="B156" s="4" t="s">
        <v>45</v>
      </c>
      <c r="C156" s="4" t="s">
        <v>77</v>
      </c>
      <c r="D156" s="4" t="s">
        <v>84</v>
      </c>
      <c r="E156" s="12" t="n">
        <v>1.55</v>
      </c>
      <c r="F156" s="13" t="n">
        <v>316</v>
      </c>
      <c r="G156" s="13" t="n">
        <v>313</v>
      </c>
      <c r="H156" s="13" t="n">
        <v>11</v>
      </c>
      <c r="I156" s="13" t="n">
        <v>8</v>
      </c>
      <c r="J156" s="13" t="n">
        <v>85</v>
      </c>
      <c r="K156" s="4" t="s">
        <v>98</v>
      </c>
    </row>
    <row r="157" customFormat="false" ht="15" hidden="false" customHeight="false" outlineLevel="0" collapsed="false">
      <c r="A157" s="4" t="s">
        <v>184</v>
      </c>
      <c r="B157" s="4" t="s">
        <v>45</v>
      </c>
      <c r="C157" s="4" t="s">
        <v>77</v>
      </c>
      <c r="D157" s="4" t="s">
        <v>85</v>
      </c>
      <c r="E157" s="12" t="n">
        <v>0.88</v>
      </c>
      <c r="F157" s="13" t="n">
        <v>265</v>
      </c>
      <c r="G157" s="13" t="n">
        <v>262</v>
      </c>
      <c r="H157" s="13" t="n">
        <v>4</v>
      </c>
      <c r="I157" s="13" t="n">
        <v>4</v>
      </c>
      <c r="J157" s="13" t="n">
        <v>50</v>
      </c>
      <c r="K157" s="4" t="s">
        <v>98</v>
      </c>
    </row>
    <row r="158" customFormat="false" ht="15" hidden="false" customHeight="false" outlineLevel="0" collapsed="false">
      <c r="A158" s="4" t="s">
        <v>185</v>
      </c>
      <c r="B158" s="4" t="s">
        <v>43</v>
      </c>
      <c r="C158" s="4" t="s">
        <v>73</v>
      </c>
      <c r="D158" s="4" t="s">
        <v>83</v>
      </c>
      <c r="E158" s="12" t="n">
        <v>2.54</v>
      </c>
      <c r="F158" s="13" t="n">
        <v>666</v>
      </c>
      <c r="G158" s="13" t="n">
        <v>278</v>
      </c>
      <c r="H158" s="13" t="n">
        <v>0</v>
      </c>
      <c r="I158" s="13" t="n">
        <v>0</v>
      </c>
      <c r="J158" s="13" t="n">
        <v>658</v>
      </c>
      <c r="K158" s="4" t="s">
        <v>98</v>
      </c>
    </row>
    <row r="159" customFormat="false" ht="15" hidden="false" customHeight="false" outlineLevel="0" collapsed="false">
      <c r="A159" s="4" t="s">
        <v>185</v>
      </c>
      <c r="B159" s="4" t="s">
        <v>45</v>
      </c>
      <c r="C159" s="4" t="s">
        <v>77</v>
      </c>
      <c r="D159" s="4" t="s">
        <v>84</v>
      </c>
      <c r="E159" s="12" t="n">
        <v>1.91</v>
      </c>
      <c r="F159" s="13" t="n">
        <v>367</v>
      </c>
      <c r="G159" s="13" t="n">
        <v>348</v>
      </c>
      <c r="H159" s="13" t="n">
        <v>15</v>
      </c>
      <c r="I159" s="13" t="n">
        <v>12</v>
      </c>
      <c r="J159" s="13" t="n">
        <v>104</v>
      </c>
      <c r="K159" s="4" t="s">
        <v>98</v>
      </c>
    </row>
    <row r="160" customFormat="false" ht="15" hidden="false" customHeight="false" outlineLevel="0" collapsed="false">
      <c r="A160" s="4" t="s">
        <v>185</v>
      </c>
      <c r="B160" s="4" t="s">
        <v>45</v>
      </c>
      <c r="C160" s="4" t="s">
        <v>77</v>
      </c>
      <c r="D160" s="4" t="s">
        <v>85</v>
      </c>
      <c r="E160" s="12" t="n">
        <v>0.67</v>
      </c>
      <c r="F160" s="13" t="n">
        <v>245</v>
      </c>
      <c r="G160" s="13" t="n">
        <v>240</v>
      </c>
      <c r="H160" s="13" t="n">
        <v>4</v>
      </c>
      <c r="I160" s="13" t="n">
        <v>4</v>
      </c>
      <c r="J160" s="13" t="n">
        <v>40</v>
      </c>
      <c r="K160" s="4" t="s">
        <v>98</v>
      </c>
    </row>
    <row r="161" customFormat="false" ht="15" hidden="false" customHeight="false" outlineLevel="0" collapsed="false">
      <c r="A161" s="4" t="s">
        <v>186</v>
      </c>
      <c r="B161" s="4" t="s">
        <v>43</v>
      </c>
      <c r="C161" s="4" t="s">
        <v>73</v>
      </c>
      <c r="D161" s="4" t="s">
        <v>83</v>
      </c>
      <c r="E161" s="12" t="n">
        <v>2.42</v>
      </c>
      <c r="F161" s="13" t="n">
        <v>684</v>
      </c>
      <c r="G161" s="13" t="n">
        <v>277</v>
      </c>
      <c r="H161" s="13" t="n">
        <v>0</v>
      </c>
      <c r="I161" s="13" t="n">
        <v>0</v>
      </c>
      <c r="J161" s="13" t="n">
        <v>671</v>
      </c>
      <c r="K161" s="4" t="s">
        <v>98</v>
      </c>
    </row>
    <row r="162" customFormat="false" ht="15" hidden="false" customHeight="false" outlineLevel="0" collapsed="false">
      <c r="A162" s="4" t="s">
        <v>186</v>
      </c>
      <c r="B162" s="4" t="s">
        <v>45</v>
      </c>
      <c r="C162" s="4" t="s">
        <v>77</v>
      </c>
      <c r="D162" s="4" t="s">
        <v>84</v>
      </c>
      <c r="E162" s="12" t="n">
        <v>2</v>
      </c>
      <c r="F162" s="13" t="n">
        <v>347</v>
      </c>
      <c r="G162" s="13" t="n">
        <v>341</v>
      </c>
      <c r="H162" s="13" t="n">
        <v>19</v>
      </c>
      <c r="I162" s="13" t="n">
        <v>16</v>
      </c>
      <c r="J162" s="13" t="n">
        <v>106</v>
      </c>
      <c r="K162" s="4" t="s">
        <v>98</v>
      </c>
    </row>
    <row r="163" customFormat="false" ht="15" hidden="false" customHeight="false" outlineLevel="0" collapsed="false">
      <c r="A163" s="4" t="s">
        <v>186</v>
      </c>
      <c r="B163" s="4" t="s">
        <v>45</v>
      </c>
      <c r="C163" s="4" t="s">
        <v>77</v>
      </c>
      <c r="D163" s="4" t="s">
        <v>85</v>
      </c>
      <c r="E163" s="12" t="n">
        <v>0.79</v>
      </c>
      <c r="F163" s="13" t="n">
        <v>206</v>
      </c>
      <c r="G163" s="13" t="n">
        <v>206</v>
      </c>
      <c r="H163" s="13" t="n">
        <v>4</v>
      </c>
      <c r="I163" s="13" t="n">
        <v>4</v>
      </c>
      <c r="J163" s="13" t="n">
        <v>45</v>
      </c>
      <c r="K163" s="4" t="s">
        <v>98</v>
      </c>
    </row>
    <row r="164" customFormat="false" ht="15" hidden="false" customHeight="false" outlineLevel="0" collapsed="false">
      <c r="A164" s="4" t="s">
        <v>187</v>
      </c>
      <c r="B164" s="4" t="s">
        <v>43</v>
      </c>
      <c r="C164" s="4" t="s">
        <v>73</v>
      </c>
      <c r="D164" s="4" t="s">
        <v>83</v>
      </c>
      <c r="E164" s="12" t="n">
        <v>2.06</v>
      </c>
      <c r="F164" s="13" t="n">
        <v>569</v>
      </c>
      <c r="G164" s="13" t="n">
        <v>245</v>
      </c>
      <c r="H164" s="13" t="n">
        <v>0</v>
      </c>
      <c r="I164" s="13" t="n">
        <v>0</v>
      </c>
      <c r="J164" s="13" t="n">
        <v>564</v>
      </c>
      <c r="K164" s="4" t="s">
        <v>98</v>
      </c>
    </row>
    <row r="165" customFormat="false" ht="15" hidden="false" customHeight="false" outlineLevel="0" collapsed="false">
      <c r="A165" s="4" t="s">
        <v>187</v>
      </c>
      <c r="B165" s="4" t="s">
        <v>45</v>
      </c>
      <c r="C165" s="4" t="s">
        <v>77</v>
      </c>
      <c r="D165" s="4" t="s">
        <v>84</v>
      </c>
      <c r="E165" s="12" t="n">
        <v>1.7</v>
      </c>
      <c r="F165" s="13" t="n">
        <v>311</v>
      </c>
      <c r="G165" s="13" t="n">
        <v>302</v>
      </c>
      <c r="H165" s="13" t="n">
        <v>15</v>
      </c>
      <c r="I165" s="13" t="n">
        <v>13</v>
      </c>
      <c r="J165" s="13" t="n">
        <v>102</v>
      </c>
      <c r="K165" s="4" t="s">
        <v>98</v>
      </c>
    </row>
    <row r="166" customFormat="false" ht="15" hidden="false" customHeight="false" outlineLevel="0" collapsed="false">
      <c r="A166" s="4" t="s">
        <v>187</v>
      </c>
      <c r="B166" s="4" t="s">
        <v>45</v>
      </c>
      <c r="C166" s="4" t="s">
        <v>77</v>
      </c>
      <c r="D166" s="4" t="s">
        <v>85</v>
      </c>
      <c r="E166" s="12" t="n">
        <v>0.72</v>
      </c>
      <c r="F166" s="13" t="n">
        <v>199</v>
      </c>
      <c r="G166" s="13" t="n">
        <v>194</v>
      </c>
      <c r="H166" s="13" t="n">
        <v>7</v>
      </c>
      <c r="I166" s="13" t="n">
        <v>7</v>
      </c>
      <c r="J166" s="13" t="n">
        <v>43</v>
      </c>
      <c r="K166" s="4" t="s">
        <v>98</v>
      </c>
    </row>
    <row r="167" customFormat="false" ht="15" hidden="false" customHeight="false" outlineLevel="0" collapsed="false">
      <c r="A167" s="4" t="s">
        <v>188</v>
      </c>
      <c r="B167" s="4" t="s">
        <v>43</v>
      </c>
      <c r="C167" s="4" t="s">
        <v>73</v>
      </c>
      <c r="D167" s="4" t="s">
        <v>83</v>
      </c>
      <c r="E167" s="12" t="n">
        <v>2.29</v>
      </c>
      <c r="F167" s="13" t="n">
        <v>665</v>
      </c>
      <c r="G167" s="13" t="n">
        <v>303</v>
      </c>
      <c r="H167" s="13" t="n">
        <v>0</v>
      </c>
      <c r="I167" s="13" t="n">
        <v>0</v>
      </c>
      <c r="J167" s="13" t="n">
        <v>660</v>
      </c>
      <c r="K167" s="4" t="s">
        <v>98</v>
      </c>
    </row>
    <row r="168" customFormat="false" ht="15" hidden="false" customHeight="false" outlineLevel="0" collapsed="false">
      <c r="A168" s="4" t="s">
        <v>188</v>
      </c>
      <c r="B168" s="4" t="s">
        <v>45</v>
      </c>
      <c r="C168" s="4" t="s">
        <v>77</v>
      </c>
      <c r="D168" s="4" t="s">
        <v>84</v>
      </c>
      <c r="E168" s="12" t="n">
        <v>1.51</v>
      </c>
      <c r="F168" s="13" t="n">
        <v>173</v>
      </c>
      <c r="G168" s="13" t="n">
        <v>170</v>
      </c>
      <c r="H168" s="13" t="n">
        <v>5</v>
      </c>
      <c r="I168" s="13" t="n">
        <v>4</v>
      </c>
      <c r="J168" s="13" t="n">
        <v>58</v>
      </c>
      <c r="K168" s="4" t="s">
        <v>98</v>
      </c>
    </row>
    <row r="169" customFormat="false" ht="15" hidden="false" customHeight="false" outlineLevel="0" collapsed="false">
      <c r="A169" s="4" t="s">
        <v>188</v>
      </c>
      <c r="B169" s="4" t="s">
        <v>45</v>
      </c>
      <c r="C169" s="4" t="s">
        <v>77</v>
      </c>
      <c r="D169" s="4" t="s">
        <v>85</v>
      </c>
      <c r="E169" s="12" t="n">
        <v>0.4</v>
      </c>
      <c r="F169" s="13" t="n">
        <v>123</v>
      </c>
      <c r="G169" s="13" t="n">
        <v>122</v>
      </c>
      <c r="H169" s="13" t="n">
        <v>3</v>
      </c>
      <c r="I169" s="13" t="n">
        <v>3</v>
      </c>
      <c r="J169" s="13" t="n">
        <v>15</v>
      </c>
      <c r="K169" s="4" t="s">
        <v>98</v>
      </c>
    </row>
    <row r="170" customFormat="false" ht="15" hidden="false" customHeight="false" outlineLevel="0" collapsed="false">
      <c r="A170" s="4" t="s">
        <v>189</v>
      </c>
      <c r="B170" s="4" t="s">
        <v>43</v>
      </c>
      <c r="C170" s="4" t="s">
        <v>73</v>
      </c>
      <c r="D170" s="4" t="s">
        <v>83</v>
      </c>
      <c r="E170" s="12" t="n">
        <v>1.94</v>
      </c>
      <c r="F170" s="13" t="n">
        <v>564</v>
      </c>
      <c r="G170" s="13" t="n">
        <v>279</v>
      </c>
      <c r="H170" s="13" t="n">
        <v>0</v>
      </c>
      <c r="I170" s="13" t="n">
        <v>0</v>
      </c>
      <c r="J170" s="13" t="n">
        <v>554</v>
      </c>
      <c r="K170" s="4" t="s">
        <v>98</v>
      </c>
    </row>
    <row r="171" customFormat="false" ht="15" hidden="false" customHeight="false" outlineLevel="0" collapsed="false">
      <c r="A171" s="4" t="s">
        <v>189</v>
      </c>
      <c r="B171" s="4" t="s">
        <v>45</v>
      </c>
      <c r="C171" s="4" t="s">
        <v>77</v>
      </c>
      <c r="D171" s="4" t="s">
        <v>84</v>
      </c>
      <c r="E171" s="12" t="n">
        <v>0.58</v>
      </c>
      <c r="F171" s="13" t="n">
        <v>121</v>
      </c>
      <c r="G171" s="13" t="n">
        <v>119</v>
      </c>
      <c r="H171" s="13" t="n">
        <v>3</v>
      </c>
      <c r="I171" s="13" t="n">
        <v>2</v>
      </c>
      <c r="J171" s="13" t="n">
        <v>45</v>
      </c>
      <c r="K171" s="4" t="s">
        <v>98</v>
      </c>
    </row>
    <row r="172" customFormat="false" ht="15" hidden="false" customHeight="false" outlineLevel="0" collapsed="false">
      <c r="A172" s="4" t="s">
        <v>189</v>
      </c>
      <c r="B172" s="4" t="s">
        <v>45</v>
      </c>
      <c r="C172" s="4" t="s">
        <v>77</v>
      </c>
      <c r="D172" s="4" t="s">
        <v>85</v>
      </c>
      <c r="E172" s="12" t="n">
        <v>0.17</v>
      </c>
      <c r="F172" s="13" t="n">
        <v>62</v>
      </c>
      <c r="G172" s="13" t="n">
        <v>62</v>
      </c>
      <c r="H172" s="13" t="n">
        <v>0</v>
      </c>
      <c r="I172" s="13" t="n">
        <v>0</v>
      </c>
      <c r="J172" s="13" t="n">
        <v>14</v>
      </c>
      <c r="K172" s="4" t="s">
        <v>98</v>
      </c>
    </row>
    <row r="173" customFormat="false" ht="15" hidden="false" customHeight="false" outlineLevel="0" collapsed="false">
      <c r="A173" s="4" t="s">
        <v>190</v>
      </c>
      <c r="B173" s="4" t="s">
        <v>43</v>
      </c>
      <c r="C173" s="4" t="s">
        <v>73</v>
      </c>
      <c r="D173" s="4" t="s">
        <v>83</v>
      </c>
      <c r="E173" s="12" t="n">
        <v>2.32</v>
      </c>
      <c r="F173" s="13" t="n">
        <v>712</v>
      </c>
      <c r="G173" s="13" t="n">
        <v>340</v>
      </c>
      <c r="H173" s="13" t="n">
        <v>0</v>
      </c>
      <c r="I173" s="13" t="n">
        <v>0</v>
      </c>
      <c r="J173" s="13" t="n">
        <v>706</v>
      </c>
      <c r="K173" s="4" t="s">
        <v>98</v>
      </c>
    </row>
  </sheetData>
  <autoFilter ref="A4:K1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7.35" hidden="false" customHeight="false" outlineLevel="0" collapsed="false">
      <c r="A1" s="10" t="s">
        <v>191</v>
      </c>
    </row>
    <row r="2" customFormat="false" ht="15" hidden="false" customHeight="false" outlineLevel="0" collapsed="false">
      <c r="A2" s="2" t="s">
        <v>192</v>
      </c>
    </row>
    <row r="4" customFormat="false" ht="31.5" hidden="false" customHeight="true" outlineLevel="0" collapsed="false">
      <c r="A4" s="11" t="s">
        <v>51</v>
      </c>
      <c r="B4" s="11" t="s">
        <v>34</v>
      </c>
      <c r="C4" s="11" t="s">
        <v>193</v>
      </c>
      <c r="D4" s="11" t="s">
        <v>194</v>
      </c>
      <c r="E4" s="11" t="s">
        <v>6</v>
      </c>
      <c r="F4" s="11" t="s">
        <v>195</v>
      </c>
      <c r="G4" s="11" t="s">
        <v>196</v>
      </c>
      <c r="H4" s="11" t="s">
        <v>7</v>
      </c>
    </row>
    <row r="5" customFormat="false" ht="15" hidden="false" customHeight="false" outlineLevel="0" collapsed="false">
      <c r="A5" s="4" t="s">
        <v>197</v>
      </c>
      <c r="B5" s="13" t="n">
        <v>0</v>
      </c>
      <c r="C5" s="13" t="n">
        <v>0</v>
      </c>
      <c r="D5" s="13" t="n">
        <v>0</v>
      </c>
      <c r="E5" s="13" t="n">
        <v>0</v>
      </c>
      <c r="F5" s="13" t="n">
        <v>0</v>
      </c>
      <c r="G5" s="13" t="n">
        <v>0</v>
      </c>
      <c r="H5" s="13" t="n">
        <v>0</v>
      </c>
    </row>
    <row r="6" customFormat="false" ht="15" hidden="false" customHeight="false" outlineLevel="0" collapsed="false">
      <c r="A6" s="4" t="s">
        <v>198</v>
      </c>
      <c r="B6" s="13" t="n">
        <v>0</v>
      </c>
      <c r="C6" s="13" t="n">
        <v>0</v>
      </c>
      <c r="D6" s="13" t="n">
        <v>0</v>
      </c>
      <c r="E6" s="13" t="n">
        <v>0</v>
      </c>
      <c r="F6" s="13" t="n">
        <v>0</v>
      </c>
      <c r="G6" s="13" t="n">
        <v>0</v>
      </c>
      <c r="H6" s="13" t="n">
        <v>0</v>
      </c>
    </row>
    <row r="7" customFormat="false" ht="15" hidden="false" customHeight="false" outlineLevel="0" collapsed="false">
      <c r="A7" s="4" t="s">
        <v>199</v>
      </c>
      <c r="B7" s="13" t="n">
        <v>0</v>
      </c>
      <c r="C7" s="13" t="n">
        <v>0</v>
      </c>
      <c r="D7" s="13" t="n">
        <v>0</v>
      </c>
      <c r="E7" s="13" t="n">
        <v>0</v>
      </c>
      <c r="F7" s="13" t="n">
        <v>0</v>
      </c>
      <c r="G7" s="13" t="n">
        <v>0</v>
      </c>
      <c r="H7" s="13" t="n">
        <v>0</v>
      </c>
    </row>
    <row r="8" customFormat="false" ht="15" hidden="false" customHeight="false" outlineLevel="0" collapsed="false">
      <c r="A8" s="4" t="s">
        <v>200</v>
      </c>
      <c r="B8" s="13" t="n">
        <v>0</v>
      </c>
      <c r="C8" s="13" t="n">
        <v>0</v>
      </c>
      <c r="D8" s="13" t="n">
        <v>0</v>
      </c>
      <c r="E8" s="13" t="n">
        <v>0</v>
      </c>
      <c r="F8" s="13" t="n">
        <v>0</v>
      </c>
      <c r="G8" s="13" t="n">
        <v>0</v>
      </c>
      <c r="H8" s="13" t="n">
        <v>0</v>
      </c>
    </row>
    <row r="9" customFormat="false" ht="15" hidden="false" customHeight="false" outlineLevel="0" collapsed="false">
      <c r="A9" s="4" t="s">
        <v>201</v>
      </c>
      <c r="B9" s="13" t="n">
        <v>0</v>
      </c>
      <c r="C9" s="13" t="n">
        <v>0</v>
      </c>
      <c r="D9" s="13" t="n">
        <v>0</v>
      </c>
      <c r="E9" s="13" t="n">
        <v>0</v>
      </c>
      <c r="F9" s="13" t="n">
        <v>0</v>
      </c>
      <c r="G9" s="13" t="n">
        <v>0</v>
      </c>
      <c r="H9" s="13" t="n">
        <v>0</v>
      </c>
    </row>
    <row r="10" customFormat="false" ht="15" hidden="false" customHeight="false" outlineLevel="0" collapsed="false">
      <c r="A10" s="4" t="s">
        <v>202</v>
      </c>
      <c r="B10" s="13" t="n">
        <v>0</v>
      </c>
      <c r="C10" s="13" t="n">
        <v>0</v>
      </c>
      <c r="D10" s="13" t="n">
        <v>0</v>
      </c>
      <c r="E10" s="13" t="n">
        <v>0</v>
      </c>
      <c r="F10" s="13" t="n">
        <v>0</v>
      </c>
      <c r="G10" s="13" t="n">
        <v>0</v>
      </c>
      <c r="H10" s="13" t="n">
        <v>0</v>
      </c>
    </row>
    <row r="11" customFormat="false" ht="15" hidden="false" customHeight="false" outlineLevel="0" collapsed="false">
      <c r="A11" s="4" t="s">
        <v>203</v>
      </c>
      <c r="B11" s="13" t="n">
        <v>0</v>
      </c>
      <c r="C11" s="13" t="n">
        <v>0</v>
      </c>
      <c r="D11" s="13" t="n">
        <v>0</v>
      </c>
      <c r="E11" s="13" t="n">
        <v>0</v>
      </c>
      <c r="F11" s="13" t="n">
        <v>0</v>
      </c>
      <c r="G11" s="13" t="n">
        <v>0</v>
      </c>
      <c r="H11" s="13" t="n">
        <v>0</v>
      </c>
    </row>
    <row r="12" customFormat="false" ht="15" hidden="false" customHeight="false" outlineLevel="0" collapsed="false">
      <c r="A12" s="4" t="s">
        <v>204</v>
      </c>
      <c r="B12" s="13" t="n">
        <v>0</v>
      </c>
      <c r="C12" s="13" t="n">
        <v>0</v>
      </c>
      <c r="D12" s="13" t="n">
        <v>0</v>
      </c>
      <c r="E12" s="13" t="n">
        <v>0</v>
      </c>
      <c r="F12" s="13" t="n">
        <v>0</v>
      </c>
      <c r="G12" s="13" t="n">
        <v>0</v>
      </c>
      <c r="H12" s="13" t="n">
        <v>0</v>
      </c>
    </row>
    <row r="13" customFormat="false" ht="15" hidden="false" customHeight="false" outlineLevel="0" collapsed="false">
      <c r="A13" s="4" t="s">
        <v>205</v>
      </c>
      <c r="B13" s="13" t="n">
        <v>0</v>
      </c>
      <c r="C13" s="13" t="n">
        <v>0</v>
      </c>
      <c r="D13" s="13" t="n">
        <v>0</v>
      </c>
      <c r="E13" s="13" t="n">
        <v>0</v>
      </c>
      <c r="F13" s="13" t="n">
        <v>0</v>
      </c>
      <c r="G13" s="13" t="n">
        <v>0</v>
      </c>
      <c r="H13" s="13" t="n">
        <v>0</v>
      </c>
    </row>
    <row r="14" customFormat="false" ht="15" hidden="false" customHeight="false" outlineLevel="0" collapsed="false">
      <c r="A14" s="4" t="s">
        <v>206</v>
      </c>
      <c r="B14" s="13" t="n">
        <v>0</v>
      </c>
      <c r="C14" s="13" t="n">
        <v>0</v>
      </c>
      <c r="D14" s="13" t="n">
        <v>0</v>
      </c>
      <c r="E14" s="13" t="n">
        <v>0</v>
      </c>
      <c r="F14" s="13" t="n">
        <v>0</v>
      </c>
      <c r="G14" s="13" t="n">
        <v>0</v>
      </c>
      <c r="H14" s="13" t="n">
        <v>0</v>
      </c>
    </row>
    <row r="15" customFormat="false" ht="15" hidden="false" customHeight="false" outlineLevel="0" collapsed="false">
      <c r="A15" s="4" t="s">
        <v>207</v>
      </c>
      <c r="B15" s="13" t="n">
        <v>0</v>
      </c>
      <c r="C15" s="13" t="n">
        <v>0</v>
      </c>
      <c r="D15" s="13" t="n">
        <v>0</v>
      </c>
      <c r="E15" s="13" t="n">
        <v>0</v>
      </c>
      <c r="F15" s="13" t="n">
        <v>0</v>
      </c>
      <c r="G15" s="13" t="n">
        <v>0</v>
      </c>
      <c r="H15" s="13" t="n">
        <v>0</v>
      </c>
    </row>
    <row r="16" customFormat="false" ht="15" hidden="false" customHeight="false" outlineLevel="0" collapsed="false">
      <c r="A16" s="4" t="s">
        <v>208</v>
      </c>
      <c r="B16" s="13" t="n">
        <v>0</v>
      </c>
      <c r="C16" s="13" t="n">
        <v>0</v>
      </c>
      <c r="D16" s="13" t="n">
        <v>0</v>
      </c>
      <c r="E16" s="13" t="n">
        <v>0</v>
      </c>
      <c r="F16" s="13" t="n">
        <v>0</v>
      </c>
      <c r="G16" s="13" t="n">
        <v>0</v>
      </c>
      <c r="H16" s="13" t="n">
        <v>0</v>
      </c>
    </row>
    <row r="17" customFormat="false" ht="15" hidden="false" customHeight="false" outlineLevel="0" collapsed="false">
      <c r="A17" s="4" t="s">
        <v>209</v>
      </c>
      <c r="B17" s="13" t="n">
        <v>0</v>
      </c>
      <c r="C17" s="13" t="n">
        <v>0</v>
      </c>
      <c r="D17" s="13" t="n">
        <v>0</v>
      </c>
      <c r="E17" s="13" t="n">
        <v>0</v>
      </c>
      <c r="F17" s="13" t="n">
        <v>0</v>
      </c>
      <c r="G17" s="13" t="n">
        <v>0</v>
      </c>
      <c r="H17" s="13" t="n">
        <v>0</v>
      </c>
    </row>
    <row r="18" customFormat="false" ht="15" hidden="false" customHeight="false" outlineLevel="0" collapsed="false">
      <c r="A18" s="4" t="s">
        <v>210</v>
      </c>
      <c r="B18" s="13" t="n">
        <v>0</v>
      </c>
      <c r="C18" s="13" t="n">
        <v>0</v>
      </c>
      <c r="D18" s="13" t="n">
        <v>0</v>
      </c>
      <c r="E18" s="13" t="n">
        <v>0</v>
      </c>
      <c r="F18" s="13" t="n">
        <v>1</v>
      </c>
      <c r="G18" s="13" t="n">
        <v>1</v>
      </c>
      <c r="H18" s="13" t="n">
        <v>4</v>
      </c>
    </row>
    <row r="19" customFormat="false" ht="15" hidden="false" customHeight="false" outlineLevel="0" collapsed="false">
      <c r="A19" s="4" t="s">
        <v>211</v>
      </c>
      <c r="B19" s="13" t="n">
        <v>0</v>
      </c>
      <c r="C19" s="13" t="n">
        <v>0</v>
      </c>
      <c r="D19" s="13" t="n">
        <v>0</v>
      </c>
      <c r="E19" s="13" t="n">
        <v>0</v>
      </c>
      <c r="F19" s="13" t="n">
        <v>0</v>
      </c>
      <c r="G19" s="13" t="n">
        <v>1</v>
      </c>
      <c r="H19" s="13" t="n">
        <v>0</v>
      </c>
    </row>
    <row r="20" customFormat="false" ht="15" hidden="false" customHeight="false" outlineLevel="0" collapsed="false">
      <c r="A20" s="4" t="s">
        <v>212</v>
      </c>
      <c r="B20" s="13" t="n">
        <v>0</v>
      </c>
      <c r="C20" s="13" t="n">
        <v>0</v>
      </c>
      <c r="D20" s="13" t="n">
        <v>0</v>
      </c>
      <c r="E20" s="13" t="n">
        <v>0</v>
      </c>
      <c r="F20" s="13" t="n">
        <v>0</v>
      </c>
      <c r="G20" s="13" t="n">
        <v>1</v>
      </c>
      <c r="H20" s="13" t="n">
        <v>0</v>
      </c>
    </row>
    <row r="21" customFormat="false" ht="15" hidden="false" customHeight="false" outlineLevel="0" collapsed="false">
      <c r="A21" s="4" t="s">
        <v>213</v>
      </c>
      <c r="B21" s="13" t="n">
        <v>0</v>
      </c>
      <c r="C21" s="13" t="n">
        <v>0</v>
      </c>
      <c r="D21" s="13" t="n">
        <v>0</v>
      </c>
      <c r="E21" s="13" t="n">
        <v>0</v>
      </c>
      <c r="F21" s="13" t="n">
        <v>0</v>
      </c>
      <c r="G21" s="13" t="n">
        <v>1</v>
      </c>
      <c r="H21" s="13" t="n">
        <v>0</v>
      </c>
    </row>
    <row r="22" customFormat="false" ht="15" hidden="false" customHeight="false" outlineLevel="0" collapsed="false">
      <c r="A22" s="4" t="s">
        <v>214</v>
      </c>
      <c r="B22" s="13" t="n">
        <v>0</v>
      </c>
      <c r="C22" s="13" t="n">
        <v>0</v>
      </c>
      <c r="D22" s="13" t="n">
        <v>0</v>
      </c>
      <c r="E22" s="13" t="n">
        <v>0</v>
      </c>
      <c r="F22" s="13" t="n">
        <v>0</v>
      </c>
      <c r="G22" s="13" t="n">
        <v>1</v>
      </c>
      <c r="H22" s="13" t="n">
        <v>0</v>
      </c>
    </row>
    <row r="23" customFormat="false" ht="15" hidden="false" customHeight="false" outlineLevel="0" collapsed="false">
      <c r="A23" s="4" t="s">
        <v>215</v>
      </c>
      <c r="B23" s="13" t="n">
        <v>0</v>
      </c>
      <c r="C23" s="13" t="n">
        <v>0</v>
      </c>
      <c r="D23" s="13" t="n">
        <v>0</v>
      </c>
      <c r="E23" s="13" t="n">
        <v>0</v>
      </c>
      <c r="F23" s="13" t="n">
        <v>0</v>
      </c>
      <c r="G23" s="13" t="n">
        <v>1</v>
      </c>
      <c r="H23" s="13" t="n">
        <v>0</v>
      </c>
    </row>
    <row r="24" customFormat="false" ht="15" hidden="false" customHeight="false" outlineLevel="0" collapsed="false">
      <c r="A24" s="4" t="s">
        <v>216</v>
      </c>
      <c r="B24" s="13" t="n">
        <v>0</v>
      </c>
      <c r="C24" s="13" t="n">
        <v>0</v>
      </c>
      <c r="D24" s="13" t="n">
        <v>0</v>
      </c>
      <c r="E24" s="13" t="n">
        <v>0</v>
      </c>
      <c r="F24" s="13" t="n">
        <v>0</v>
      </c>
      <c r="G24" s="13" t="n">
        <v>1</v>
      </c>
      <c r="H24" s="13" t="n">
        <v>0</v>
      </c>
    </row>
    <row r="25" customFormat="false" ht="15" hidden="false" customHeight="false" outlineLevel="0" collapsed="false">
      <c r="A25" s="4" t="s">
        <v>217</v>
      </c>
      <c r="B25" s="13" t="n">
        <v>0</v>
      </c>
      <c r="C25" s="13" t="n">
        <v>0</v>
      </c>
      <c r="D25" s="13" t="n">
        <v>0</v>
      </c>
      <c r="E25" s="13" t="n">
        <v>0</v>
      </c>
      <c r="F25" s="13" t="n">
        <v>0</v>
      </c>
      <c r="G25" s="13" t="n">
        <v>1</v>
      </c>
      <c r="H25" s="13" t="n">
        <v>0</v>
      </c>
    </row>
    <row r="26" customFormat="false" ht="15" hidden="false" customHeight="false" outlineLevel="0" collapsed="false">
      <c r="A26" s="4" t="s">
        <v>218</v>
      </c>
      <c r="B26" s="13" t="n">
        <v>0</v>
      </c>
      <c r="C26" s="13" t="n">
        <v>0</v>
      </c>
      <c r="D26" s="13" t="n">
        <v>0</v>
      </c>
      <c r="E26" s="13" t="n">
        <v>0</v>
      </c>
      <c r="F26" s="13" t="n">
        <v>0</v>
      </c>
      <c r="G26" s="13" t="n">
        <v>1</v>
      </c>
      <c r="H26" s="13" t="n">
        <v>0</v>
      </c>
    </row>
    <row r="27" customFormat="false" ht="15" hidden="false" customHeight="false" outlineLevel="0" collapsed="false">
      <c r="A27" s="4" t="s">
        <v>219</v>
      </c>
      <c r="B27" s="13" t="n">
        <v>0</v>
      </c>
      <c r="C27" s="13" t="n">
        <v>0</v>
      </c>
      <c r="D27" s="13" t="n">
        <v>0</v>
      </c>
      <c r="E27" s="13" t="n">
        <v>0</v>
      </c>
      <c r="F27" s="13" t="n">
        <v>0</v>
      </c>
      <c r="G27" s="13" t="n">
        <v>1</v>
      </c>
      <c r="H27" s="13" t="n">
        <v>7</v>
      </c>
    </row>
    <row r="28" customFormat="false" ht="15" hidden="false" customHeight="false" outlineLevel="0" collapsed="false">
      <c r="A28" s="4" t="s">
        <v>220</v>
      </c>
      <c r="B28" s="13" t="n">
        <v>0</v>
      </c>
      <c r="C28" s="13" t="n">
        <v>0</v>
      </c>
      <c r="D28" s="13" t="n">
        <v>0</v>
      </c>
      <c r="E28" s="13" t="n">
        <v>0</v>
      </c>
      <c r="F28" s="13" t="n">
        <v>0</v>
      </c>
      <c r="G28" s="13" t="n">
        <v>1</v>
      </c>
      <c r="H28" s="13" t="n">
        <v>0</v>
      </c>
    </row>
    <row r="29" customFormat="false" ht="15" hidden="false" customHeight="false" outlineLevel="0" collapsed="false">
      <c r="A29" s="4" t="s">
        <v>221</v>
      </c>
      <c r="B29" s="13" t="n">
        <v>0</v>
      </c>
      <c r="C29" s="13" t="n">
        <v>0</v>
      </c>
      <c r="D29" s="13" t="n">
        <v>0</v>
      </c>
      <c r="E29" s="13" t="n">
        <v>0</v>
      </c>
      <c r="F29" s="13" t="n">
        <v>0</v>
      </c>
      <c r="G29" s="13" t="n">
        <v>1</v>
      </c>
      <c r="H29" s="13" t="n">
        <v>0</v>
      </c>
    </row>
    <row r="30" customFormat="false" ht="15" hidden="false" customHeight="false" outlineLevel="0" collapsed="false">
      <c r="A30" s="4" t="s">
        <v>222</v>
      </c>
      <c r="B30" s="13" t="n">
        <v>0</v>
      </c>
      <c r="C30" s="13" t="n">
        <v>0</v>
      </c>
      <c r="D30" s="13" t="n">
        <v>0</v>
      </c>
      <c r="E30" s="13" t="n">
        <v>0</v>
      </c>
      <c r="F30" s="13" t="n">
        <v>0</v>
      </c>
      <c r="G30" s="13" t="n">
        <v>1</v>
      </c>
      <c r="H30" s="13" t="n">
        <v>0</v>
      </c>
    </row>
    <row r="31" customFormat="false" ht="15" hidden="false" customHeight="false" outlineLevel="0" collapsed="false">
      <c r="A31" s="4" t="s">
        <v>223</v>
      </c>
      <c r="B31" s="13" t="n">
        <v>0</v>
      </c>
      <c r="C31" s="13" t="n">
        <v>0</v>
      </c>
      <c r="D31" s="13" t="n">
        <v>0</v>
      </c>
      <c r="E31" s="13" t="n">
        <v>0</v>
      </c>
      <c r="F31" s="13" t="n">
        <v>0</v>
      </c>
      <c r="G31" s="13" t="n">
        <v>1</v>
      </c>
      <c r="H31" s="13" t="n">
        <v>0</v>
      </c>
    </row>
    <row r="32" customFormat="false" ht="15" hidden="false" customHeight="false" outlineLevel="0" collapsed="false">
      <c r="A32" s="4" t="s">
        <v>224</v>
      </c>
      <c r="B32" s="13" t="n">
        <v>0</v>
      </c>
      <c r="C32" s="13" t="n">
        <v>0</v>
      </c>
      <c r="D32" s="13" t="n">
        <v>0</v>
      </c>
      <c r="E32" s="13" t="n">
        <v>0</v>
      </c>
      <c r="F32" s="13" t="n">
        <v>0</v>
      </c>
      <c r="G32" s="13" t="n">
        <v>1</v>
      </c>
      <c r="H32" s="13" t="n">
        <v>0</v>
      </c>
    </row>
    <row r="33" customFormat="false" ht="15" hidden="false" customHeight="false" outlineLevel="0" collapsed="false">
      <c r="A33" s="4" t="s">
        <v>225</v>
      </c>
      <c r="B33" s="13" t="n">
        <v>0</v>
      </c>
      <c r="C33" s="13" t="n">
        <v>0</v>
      </c>
      <c r="D33" s="13" t="n">
        <v>0</v>
      </c>
      <c r="E33" s="13" t="n">
        <v>0</v>
      </c>
      <c r="F33" s="13" t="n">
        <v>0</v>
      </c>
      <c r="G33" s="13" t="n">
        <v>1</v>
      </c>
      <c r="H33" s="13" t="n">
        <v>0</v>
      </c>
    </row>
    <row r="34" customFormat="false" ht="15" hidden="false" customHeight="false" outlineLevel="0" collapsed="false">
      <c r="A34" s="4" t="s">
        <v>226</v>
      </c>
      <c r="B34" s="13" t="n">
        <v>0</v>
      </c>
      <c r="C34" s="13" t="n">
        <v>0</v>
      </c>
      <c r="D34" s="13" t="n">
        <v>0</v>
      </c>
      <c r="E34" s="13" t="n">
        <v>0</v>
      </c>
      <c r="F34" s="13" t="n">
        <v>0</v>
      </c>
      <c r="G34" s="13" t="n">
        <v>1</v>
      </c>
      <c r="H34" s="13" t="n">
        <v>0</v>
      </c>
    </row>
    <row r="35" customFormat="false" ht="15" hidden="false" customHeight="false" outlineLevel="0" collapsed="false">
      <c r="A35" s="4" t="s">
        <v>227</v>
      </c>
      <c r="B35" s="13" t="n">
        <v>0</v>
      </c>
      <c r="C35" s="13" t="n">
        <v>0</v>
      </c>
      <c r="D35" s="13" t="n">
        <v>0</v>
      </c>
      <c r="E35" s="13" t="n">
        <v>0</v>
      </c>
      <c r="F35" s="13" t="n">
        <v>0</v>
      </c>
      <c r="G35" s="13" t="n">
        <v>1</v>
      </c>
      <c r="H35" s="13" t="n">
        <v>0</v>
      </c>
    </row>
    <row r="36" customFormat="false" ht="15" hidden="false" customHeight="false" outlineLevel="0" collapsed="false">
      <c r="A36" s="4" t="s">
        <v>228</v>
      </c>
      <c r="B36" s="13" t="n">
        <v>0</v>
      </c>
      <c r="C36" s="13" t="n">
        <v>0</v>
      </c>
      <c r="D36" s="13" t="n">
        <v>0</v>
      </c>
      <c r="E36" s="13" t="n">
        <v>0</v>
      </c>
      <c r="F36" s="13" t="n">
        <v>0</v>
      </c>
      <c r="G36" s="13" t="n">
        <v>1</v>
      </c>
      <c r="H36" s="13" t="n">
        <v>0</v>
      </c>
    </row>
    <row r="37" customFormat="false" ht="15" hidden="false" customHeight="false" outlineLevel="0" collapsed="false">
      <c r="A37" s="4" t="s">
        <v>229</v>
      </c>
      <c r="B37" s="13" t="n">
        <v>0</v>
      </c>
      <c r="C37" s="13" t="n">
        <v>0</v>
      </c>
      <c r="D37" s="13" t="n">
        <v>0</v>
      </c>
      <c r="E37" s="13" t="n">
        <v>0</v>
      </c>
      <c r="F37" s="13" t="n">
        <v>0</v>
      </c>
      <c r="G37" s="13" t="n">
        <v>1</v>
      </c>
      <c r="H37" s="13" t="n">
        <v>0</v>
      </c>
    </row>
    <row r="38" customFormat="false" ht="15" hidden="false" customHeight="false" outlineLevel="0" collapsed="false">
      <c r="A38" s="4" t="s">
        <v>230</v>
      </c>
      <c r="B38" s="13" t="n">
        <v>0</v>
      </c>
      <c r="C38" s="13" t="n">
        <v>0</v>
      </c>
      <c r="D38" s="13" t="n">
        <v>0</v>
      </c>
      <c r="E38" s="13" t="n">
        <v>0</v>
      </c>
      <c r="F38" s="13" t="n">
        <v>0</v>
      </c>
      <c r="G38" s="13" t="n">
        <v>1</v>
      </c>
      <c r="H38" s="13" t="n">
        <v>0</v>
      </c>
    </row>
    <row r="39" customFormat="false" ht="15" hidden="false" customHeight="false" outlineLevel="0" collapsed="false">
      <c r="A39" s="4" t="s">
        <v>231</v>
      </c>
      <c r="B39" s="13" t="n">
        <v>0</v>
      </c>
      <c r="C39" s="13" t="n">
        <v>0</v>
      </c>
      <c r="D39" s="13" t="n">
        <v>0</v>
      </c>
      <c r="E39" s="13" t="n">
        <v>0</v>
      </c>
      <c r="F39" s="13" t="n">
        <v>0</v>
      </c>
      <c r="G39" s="13" t="n">
        <v>1</v>
      </c>
      <c r="H39" s="13" t="n">
        <v>0</v>
      </c>
    </row>
    <row r="40" customFormat="false" ht="15" hidden="false" customHeight="false" outlineLevel="0" collapsed="false">
      <c r="A40" s="4" t="s">
        <v>232</v>
      </c>
      <c r="B40" s="13" t="n">
        <v>0</v>
      </c>
      <c r="C40" s="13" t="n">
        <v>0</v>
      </c>
      <c r="D40" s="13" t="n">
        <v>0</v>
      </c>
      <c r="E40" s="13" t="n">
        <v>0</v>
      </c>
      <c r="F40" s="13" t="n">
        <v>0</v>
      </c>
      <c r="G40" s="13" t="n">
        <v>1</v>
      </c>
      <c r="H40" s="13" t="n">
        <v>0</v>
      </c>
    </row>
    <row r="41" customFormat="false" ht="15" hidden="false" customHeight="false" outlineLevel="0" collapsed="false">
      <c r="A41" s="4" t="s">
        <v>233</v>
      </c>
      <c r="B41" s="13" t="n">
        <v>0</v>
      </c>
      <c r="C41" s="13" t="n">
        <v>0</v>
      </c>
      <c r="D41" s="13" t="n">
        <v>0</v>
      </c>
      <c r="E41" s="13" t="n">
        <v>0</v>
      </c>
      <c r="F41" s="13" t="n">
        <v>0</v>
      </c>
      <c r="G41" s="13" t="n">
        <v>1</v>
      </c>
      <c r="H41" s="13" t="n">
        <v>0</v>
      </c>
    </row>
    <row r="42" customFormat="false" ht="15" hidden="false" customHeight="false" outlineLevel="0" collapsed="false">
      <c r="A42" s="4" t="s">
        <v>234</v>
      </c>
      <c r="B42" s="13" t="n">
        <v>0</v>
      </c>
      <c r="C42" s="13" t="n">
        <v>0</v>
      </c>
      <c r="D42" s="13" t="n">
        <v>0</v>
      </c>
      <c r="E42" s="13" t="n">
        <v>0</v>
      </c>
      <c r="F42" s="13" t="n">
        <v>0</v>
      </c>
      <c r="G42" s="13" t="n">
        <v>1</v>
      </c>
      <c r="H42" s="13" t="n">
        <v>0</v>
      </c>
    </row>
    <row r="43" customFormat="false" ht="15" hidden="false" customHeight="false" outlineLevel="0" collapsed="false">
      <c r="A43" s="4" t="s">
        <v>235</v>
      </c>
      <c r="B43" s="13" t="n">
        <v>0</v>
      </c>
      <c r="C43" s="13" t="n">
        <v>0</v>
      </c>
      <c r="D43" s="13" t="n">
        <v>0</v>
      </c>
      <c r="E43" s="13" t="n">
        <v>0</v>
      </c>
      <c r="F43" s="13" t="n">
        <v>0</v>
      </c>
      <c r="G43" s="13" t="n">
        <v>1</v>
      </c>
      <c r="H43" s="13" t="n">
        <v>0</v>
      </c>
    </row>
    <row r="44" customFormat="false" ht="15" hidden="false" customHeight="false" outlineLevel="0" collapsed="false">
      <c r="A44" s="4" t="s">
        <v>236</v>
      </c>
      <c r="B44" s="13" t="n">
        <v>0</v>
      </c>
      <c r="C44" s="13" t="n">
        <v>0</v>
      </c>
      <c r="D44" s="13" t="n">
        <v>0</v>
      </c>
      <c r="E44" s="13" t="n">
        <v>0</v>
      </c>
      <c r="F44" s="13" t="n">
        <v>0</v>
      </c>
      <c r="G44" s="13" t="n">
        <v>1</v>
      </c>
      <c r="H44" s="13" t="n">
        <v>0</v>
      </c>
    </row>
    <row r="45" customFormat="false" ht="15" hidden="false" customHeight="false" outlineLevel="0" collapsed="false">
      <c r="A45" s="4" t="s">
        <v>237</v>
      </c>
      <c r="B45" s="13" t="n">
        <v>0</v>
      </c>
      <c r="C45" s="13" t="n">
        <v>0</v>
      </c>
      <c r="D45" s="13" t="n">
        <v>0</v>
      </c>
      <c r="E45" s="13" t="n">
        <v>0</v>
      </c>
      <c r="F45" s="13" t="n">
        <v>0</v>
      </c>
      <c r="G45" s="13" t="n">
        <v>1</v>
      </c>
      <c r="H45" s="13" t="n">
        <v>0</v>
      </c>
    </row>
    <row r="46" customFormat="false" ht="15" hidden="false" customHeight="false" outlineLevel="0" collapsed="false">
      <c r="A46" s="4" t="s">
        <v>238</v>
      </c>
      <c r="B46" s="13" t="n">
        <v>0</v>
      </c>
      <c r="C46" s="13" t="n">
        <v>0</v>
      </c>
      <c r="D46" s="13" t="n">
        <v>0</v>
      </c>
      <c r="E46" s="13" t="n">
        <v>0</v>
      </c>
      <c r="F46" s="13" t="n">
        <v>0</v>
      </c>
      <c r="G46" s="13" t="n">
        <v>1</v>
      </c>
      <c r="H46" s="13" t="n">
        <v>0</v>
      </c>
    </row>
    <row r="47" customFormat="false" ht="15" hidden="false" customHeight="false" outlineLevel="0" collapsed="false">
      <c r="A47" s="4" t="s">
        <v>239</v>
      </c>
      <c r="B47" s="13" t="n">
        <v>0</v>
      </c>
      <c r="C47" s="13" t="n">
        <v>0</v>
      </c>
      <c r="D47" s="13" t="n">
        <v>0</v>
      </c>
      <c r="E47" s="13" t="n">
        <v>0</v>
      </c>
      <c r="F47" s="13" t="n">
        <v>0</v>
      </c>
      <c r="G47" s="13" t="n">
        <v>1</v>
      </c>
      <c r="H47" s="13" t="n">
        <v>0</v>
      </c>
    </row>
    <row r="48" customFormat="false" ht="15" hidden="false" customHeight="false" outlineLevel="0" collapsed="false">
      <c r="A48" s="4" t="s">
        <v>240</v>
      </c>
      <c r="B48" s="13" t="n">
        <v>0</v>
      </c>
      <c r="C48" s="13" t="n">
        <v>0</v>
      </c>
      <c r="D48" s="13" t="n">
        <v>0</v>
      </c>
      <c r="E48" s="13" t="n">
        <v>0</v>
      </c>
      <c r="F48" s="13" t="n">
        <v>0</v>
      </c>
      <c r="G48" s="13" t="n">
        <v>1</v>
      </c>
      <c r="H48" s="13" t="n">
        <v>0</v>
      </c>
    </row>
    <row r="49" customFormat="false" ht="15" hidden="false" customHeight="false" outlineLevel="0" collapsed="false">
      <c r="A49" s="4" t="s">
        <v>241</v>
      </c>
      <c r="B49" s="13" t="n">
        <v>0</v>
      </c>
      <c r="C49" s="13" t="n">
        <v>0</v>
      </c>
      <c r="D49" s="13" t="n">
        <v>0</v>
      </c>
      <c r="E49" s="13" t="n">
        <v>0</v>
      </c>
      <c r="F49" s="13" t="n">
        <v>0</v>
      </c>
      <c r="G49" s="13" t="n">
        <v>1</v>
      </c>
      <c r="H49" s="13" t="n">
        <v>0</v>
      </c>
    </row>
    <row r="50" customFormat="false" ht="15" hidden="false" customHeight="false" outlineLevel="0" collapsed="false">
      <c r="A50" s="4" t="s">
        <v>242</v>
      </c>
      <c r="B50" s="13" t="n">
        <v>0</v>
      </c>
      <c r="C50" s="13" t="n">
        <v>0</v>
      </c>
      <c r="D50" s="13" t="n">
        <v>0</v>
      </c>
      <c r="E50" s="13" t="n">
        <v>0</v>
      </c>
      <c r="F50" s="13" t="n">
        <v>0</v>
      </c>
      <c r="G50" s="13" t="n">
        <v>1</v>
      </c>
      <c r="H50" s="13" t="n">
        <v>0</v>
      </c>
    </row>
    <row r="51" customFormat="false" ht="15" hidden="false" customHeight="false" outlineLevel="0" collapsed="false">
      <c r="A51" s="4" t="s">
        <v>243</v>
      </c>
      <c r="B51" s="13" t="n">
        <v>0</v>
      </c>
      <c r="C51" s="13" t="n">
        <v>0</v>
      </c>
      <c r="D51" s="13" t="n">
        <v>0</v>
      </c>
      <c r="E51" s="13" t="n">
        <v>0</v>
      </c>
      <c r="F51" s="13" t="n">
        <v>0</v>
      </c>
      <c r="G51" s="13" t="n">
        <v>1</v>
      </c>
      <c r="H51" s="13" t="n">
        <v>0</v>
      </c>
    </row>
    <row r="52" customFormat="false" ht="15" hidden="false" customHeight="false" outlineLevel="0" collapsed="false">
      <c r="A52" s="4" t="s">
        <v>244</v>
      </c>
      <c r="B52" s="13" t="n">
        <v>0</v>
      </c>
      <c r="C52" s="13" t="n">
        <v>0</v>
      </c>
      <c r="D52" s="13" t="n">
        <v>0</v>
      </c>
      <c r="E52" s="13" t="n">
        <v>0</v>
      </c>
      <c r="F52" s="13" t="n">
        <v>0</v>
      </c>
      <c r="G52" s="13" t="n">
        <v>1</v>
      </c>
      <c r="H52" s="13" t="n">
        <v>0</v>
      </c>
    </row>
    <row r="53" customFormat="false" ht="15" hidden="false" customHeight="false" outlineLevel="0" collapsed="false">
      <c r="A53" s="4" t="s">
        <v>245</v>
      </c>
      <c r="B53" s="13" t="n">
        <v>23</v>
      </c>
      <c r="C53" s="13" t="n">
        <v>23</v>
      </c>
      <c r="D53" s="13" t="n">
        <v>0</v>
      </c>
      <c r="E53" s="13" t="n">
        <v>6</v>
      </c>
      <c r="F53" s="13" t="n">
        <v>1</v>
      </c>
      <c r="G53" s="13" t="n">
        <v>2</v>
      </c>
      <c r="H53" s="13" t="n">
        <v>3</v>
      </c>
    </row>
    <row r="54" customFormat="false" ht="15" hidden="false" customHeight="false" outlineLevel="0" collapsed="false">
      <c r="A54" s="4" t="s">
        <v>246</v>
      </c>
      <c r="B54" s="13" t="n">
        <v>18</v>
      </c>
      <c r="C54" s="13" t="n">
        <v>18</v>
      </c>
      <c r="D54" s="13" t="n">
        <v>0</v>
      </c>
      <c r="E54" s="13" t="n">
        <v>2</v>
      </c>
      <c r="F54" s="13" t="n">
        <v>0</v>
      </c>
      <c r="G54" s="13" t="n">
        <v>2</v>
      </c>
      <c r="H54" s="13" t="n">
        <v>0</v>
      </c>
    </row>
    <row r="55" customFormat="false" ht="15" hidden="false" customHeight="false" outlineLevel="0" collapsed="false">
      <c r="A55" s="4" t="s">
        <v>247</v>
      </c>
      <c r="B55" s="13" t="n">
        <v>57</v>
      </c>
      <c r="C55" s="13" t="n">
        <v>57</v>
      </c>
      <c r="D55" s="13" t="n">
        <v>0</v>
      </c>
      <c r="E55" s="13" t="n">
        <v>3</v>
      </c>
      <c r="F55" s="13" t="n">
        <v>3</v>
      </c>
      <c r="G55" s="13" t="n">
        <v>5</v>
      </c>
      <c r="H55" s="13" t="n">
        <v>7</v>
      </c>
    </row>
    <row r="56" customFormat="false" ht="15" hidden="false" customHeight="false" outlineLevel="0" collapsed="false">
      <c r="A56" s="4" t="s">
        <v>248</v>
      </c>
      <c r="B56" s="13" t="n">
        <v>2</v>
      </c>
      <c r="C56" s="13" t="n">
        <v>2</v>
      </c>
      <c r="D56" s="13" t="n">
        <v>0</v>
      </c>
      <c r="E56" s="13" t="n">
        <v>0</v>
      </c>
      <c r="F56" s="13" t="n">
        <v>0</v>
      </c>
      <c r="G56" s="13" t="n">
        <v>5</v>
      </c>
      <c r="H56" s="13" t="n">
        <v>0</v>
      </c>
    </row>
    <row r="57" customFormat="false" ht="15" hidden="false" customHeight="false" outlineLevel="0" collapsed="false">
      <c r="A57" s="4" t="s">
        <v>249</v>
      </c>
      <c r="B57" s="13" t="n">
        <v>0</v>
      </c>
      <c r="C57" s="13" t="n">
        <v>0</v>
      </c>
      <c r="D57" s="13" t="n">
        <v>0</v>
      </c>
      <c r="E57" s="13" t="n">
        <v>0</v>
      </c>
      <c r="F57" s="13" t="n">
        <v>0</v>
      </c>
      <c r="G57" s="13" t="n">
        <v>5</v>
      </c>
      <c r="H57" s="13" t="n">
        <v>0</v>
      </c>
    </row>
    <row r="58" customFormat="false" ht="15" hidden="false" customHeight="false" outlineLevel="0" collapsed="false">
      <c r="A58" s="4" t="s">
        <v>250</v>
      </c>
      <c r="B58" s="13" t="n">
        <v>27</v>
      </c>
      <c r="C58" s="13" t="n">
        <v>27</v>
      </c>
      <c r="D58" s="13" t="n">
        <v>0</v>
      </c>
      <c r="E58" s="13" t="n">
        <v>6</v>
      </c>
      <c r="F58" s="13" t="n">
        <v>0</v>
      </c>
      <c r="G58" s="13" t="n">
        <v>5</v>
      </c>
      <c r="H58" s="13" t="n">
        <v>0</v>
      </c>
    </row>
    <row r="59" customFormat="false" ht="15" hidden="false" customHeight="false" outlineLevel="0" collapsed="false">
      <c r="A59" s="4" t="s">
        <v>251</v>
      </c>
      <c r="B59" s="13" t="n">
        <v>1</v>
      </c>
      <c r="C59" s="13" t="n">
        <v>1</v>
      </c>
      <c r="D59" s="13" t="n">
        <v>0</v>
      </c>
      <c r="E59" s="13" t="n">
        <v>0</v>
      </c>
      <c r="F59" s="13" t="n">
        <v>0</v>
      </c>
      <c r="G59" s="13" t="n">
        <v>5</v>
      </c>
      <c r="H59" s="13" t="n">
        <v>0</v>
      </c>
    </row>
    <row r="60" customFormat="false" ht="15" hidden="false" customHeight="false" outlineLevel="0" collapsed="false">
      <c r="A60" s="4" t="s">
        <v>252</v>
      </c>
      <c r="B60" s="13" t="n">
        <v>17</v>
      </c>
      <c r="C60" s="13" t="n">
        <v>17</v>
      </c>
      <c r="D60" s="13" t="n">
        <v>0</v>
      </c>
      <c r="E60" s="13" t="n">
        <v>4</v>
      </c>
      <c r="F60" s="13" t="n">
        <v>0</v>
      </c>
      <c r="G60" s="13" t="n">
        <v>5</v>
      </c>
      <c r="H60" s="13" t="n">
        <v>0</v>
      </c>
    </row>
    <row r="61" customFormat="false" ht="15" hidden="false" customHeight="false" outlineLevel="0" collapsed="false">
      <c r="A61" s="4" t="s">
        <v>253</v>
      </c>
      <c r="B61" s="13" t="n">
        <v>4</v>
      </c>
      <c r="C61" s="13" t="n">
        <v>4</v>
      </c>
      <c r="D61" s="13" t="n">
        <v>0</v>
      </c>
      <c r="E61" s="13" t="n">
        <v>1</v>
      </c>
      <c r="F61" s="13" t="n">
        <v>0</v>
      </c>
      <c r="G61" s="13" t="n">
        <v>5</v>
      </c>
      <c r="H61" s="13" t="n">
        <v>4</v>
      </c>
    </row>
    <row r="62" customFormat="false" ht="15" hidden="false" customHeight="false" outlineLevel="0" collapsed="false">
      <c r="A62" s="4" t="s">
        <v>254</v>
      </c>
      <c r="B62" s="13" t="n">
        <v>12</v>
      </c>
      <c r="C62" s="13" t="n">
        <v>12</v>
      </c>
      <c r="D62" s="13" t="n">
        <v>0</v>
      </c>
      <c r="E62" s="13" t="n">
        <v>4</v>
      </c>
      <c r="F62" s="13" t="n">
        <v>0</v>
      </c>
      <c r="G62" s="13" t="n">
        <v>5</v>
      </c>
      <c r="H62" s="13" t="n">
        <v>0</v>
      </c>
    </row>
    <row r="63" customFormat="false" ht="15" hidden="false" customHeight="false" outlineLevel="0" collapsed="false">
      <c r="A63" s="4" t="s">
        <v>255</v>
      </c>
      <c r="B63" s="13" t="n">
        <v>9</v>
      </c>
      <c r="C63" s="13" t="n">
        <v>9</v>
      </c>
      <c r="D63" s="13" t="n">
        <v>0</v>
      </c>
      <c r="E63" s="13" t="n">
        <v>2</v>
      </c>
      <c r="F63" s="13" t="n">
        <v>3</v>
      </c>
      <c r="G63" s="13" t="n">
        <v>8</v>
      </c>
      <c r="H63" s="13" t="n">
        <v>9</v>
      </c>
    </row>
    <row r="64" customFormat="false" ht="15" hidden="false" customHeight="false" outlineLevel="0" collapsed="false">
      <c r="A64" s="4" t="s">
        <v>256</v>
      </c>
      <c r="B64" s="13" t="n">
        <v>0</v>
      </c>
      <c r="C64" s="13" t="n">
        <v>0</v>
      </c>
      <c r="D64" s="13" t="n">
        <v>0</v>
      </c>
      <c r="E64" s="13" t="n">
        <v>0</v>
      </c>
      <c r="F64" s="13" t="n">
        <v>0</v>
      </c>
      <c r="G64" s="13" t="n">
        <v>8</v>
      </c>
      <c r="H64" s="13" t="n">
        <v>0</v>
      </c>
    </row>
    <row r="65" customFormat="false" ht="15" hidden="false" customHeight="false" outlineLevel="0" collapsed="false">
      <c r="A65" s="4" t="s">
        <v>257</v>
      </c>
      <c r="B65" s="13" t="n">
        <v>14</v>
      </c>
      <c r="C65" s="13" t="n">
        <v>14</v>
      </c>
      <c r="D65" s="13" t="n">
        <v>0</v>
      </c>
      <c r="E65" s="13" t="n">
        <v>3</v>
      </c>
      <c r="F65" s="13" t="n">
        <v>0</v>
      </c>
      <c r="G65" s="13" t="n">
        <v>8</v>
      </c>
      <c r="H65" s="13" t="n">
        <v>0</v>
      </c>
    </row>
    <row r="66" customFormat="false" ht="15" hidden="false" customHeight="false" outlineLevel="0" collapsed="false">
      <c r="A66" s="4" t="s">
        <v>258</v>
      </c>
      <c r="B66" s="13" t="n">
        <v>0</v>
      </c>
      <c r="C66" s="13" t="n">
        <v>0</v>
      </c>
      <c r="D66" s="13" t="n">
        <v>0</v>
      </c>
      <c r="E66" s="13" t="n">
        <v>0</v>
      </c>
      <c r="F66" s="13" t="n">
        <v>0</v>
      </c>
      <c r="G66" s="13" t="n">
        <v>8</v>
      </c>
      <c r="H66" s="13" t="n">
        <v>0</v>
      </c>
    </row>
    <row r="67" customFormat="false" ht="15" hidden="false" customHeight="false" outlineLevel="0" collapsed="false">
      <c r="A67" s="4" t="s">
        <v>259</v>
      </c>
      <c r="B67" s="13" t="n">
        <v>1</v>
      </c>
      <c r="C67" s="13" t="n">
        <v>1</v>
      </c>
      <c r="D67" s="13" t="n">
        <v>0</v>
      </c>
      <c r="E67" s="13" t="n">
        <v>0</v>
      </c>
      <c r="F67" s="13" t="n">
        <v>0</v>
      </c>
      <c r="G67" s="13" t="n">
        <v>8</v>
      </c>
      <c r="H67" s="13" t="n">
        <v>0</v>
      </c>
    </row>
    <row r="68" customFormat="false" ht="15" hidden="false" customHeight="false" outlineLevel="0" collapsed="false">
      <c r="A68" s="4" t="s">
        <v>260</v>
      </c>
      <c r="B68" s="13" t="n">
        <v>30</v>
      </c>
      <c r="C68" s="13" t="n">
        <v>30</v>
      </c>
      <c r="D68" s="13" t="n">
        <v>0</v>
      </c>
      <c r="E68" s="13" t="n">
        <v>10</v>
      </c>
      <c r="F68" s="13" t="n">
        <v>1</v>
      </c>
      <c r="G68" s="13" t="n">
        <v>9</v>
      </c>
      <c r="H68" s="13" t="n">
        <v>0</v>
      </c>
    </row>
    <row r="69" customFormat="false" ht="15" hidden="false" customHeight="false" outlineLevel="0" collapsed="false">
      <c r="A69" s="4" t="s">
        <v>261</v>
      </c>
      <c r="B69" s="13" t="n">
        <v>7</v>
      </c>
      <c r="C69" s="13" t="n">
        <v>7</v>
      </c>
      <c r="D69" s="13" t="n">
        <v>0</v>
      </c>
      <c r="E69" s="13" t="n">
        <v>2</v>
      </c>
      <c r="F69" s="13" t="n">
        <v>0</v>
      </c>
      <c r="G69" s="13" t="n">
        <v>9</v>
      </c>
      <c r="H69" s="13" t="n">
        <v>0</v>
      </c>
    </row>
    <row r="70" customFormat="false" ht="15" hidden="false" customHeight="false" outlineLevel="0" collapsed="false">
      <c r="A70" s="4" t="s">
        <v>262</v>
      </c>
      <c r="B70" s="13" t="n">
        <v>0</v>
      </c>
      <c r="C70" s="13" t="n">
        <v>0</v>
      </c>
      <c r="D70" s="13" t="n">
        <v>0</v>
      </c>
      <c r="E70" s="13" t="n">
        <v>0</v>
      </c>
      <c r="F70" s="13" t="n">
        <v>0</v>
      </c>
      <c r="G70" s="13" t="n">
        <v>9</v>
      </c>
      <c r="H70" s="13" t="n">
        <v>0</v>
      </c>
    </row>
    <row r="71" customFormat="false" ht="15" hidden="false" customHeight="false" outlineLevel="0" collapsed="false">
      <c r="A71" s="4" t="s">
        <v>263</v>
      </c>
      <c r="B71" s="13" t="n">
        <v>0</v>
      </c>
      <c r="C71" s="13" t="n">
        <v>0</v>
      </c>
      <c r="D71" s="13" t="n">
        <v>0</v>
      </c>
      <c r="E71" s="13" t="n">
        <v>0</v>
      </c>
      <c r="F71" s="13" t="n">
        <v>0</v>
      </c>
      <c r="G71" s="13" t="n">
        <v>9</v>
      </c>
      <c r="H71" s="13" t="n">
        <v>0</v>
      </c>
    </row>
    <row r="72" customFormat="false" ht="15" hidden="false" customHeight="false" outlineLevel="0" collapsed="false">
      <c r="A72" s="4" t="s">
        <v>264</v>
      </c>
      <c r="B72" s="13" t="n">
        <v>0</v>
      </c>
      <c r="C72" s="13" t="n">
        <v>0</v>
      </c>
      <c r="D72" s="13" t="n">
        <v>0</v>
      </c>
      <c r="E72" s="13" t="n">
        <v>0</v>
      </c>
      <c r="F72" s="13" t="n">
        <v>0</v>
      </c>
      <c r="G72" s="13" t="n">
        <v>9</v>
      </c>
      <c r="H72" s="13" t="n">
        <v>0</v>
      </c>
    </row>
    <row r="73" customFormat="false" ht="15" hidden="false" customHeight="false" outlineLevel="0" collapsed="false">
      <c r="A73" s="4" t="s">
        <v>265</v>
      </c>
      <c r="B73" s="13" t="n">
        <v>0</v>
      </c>
      <c r="C73" s="13" t="n">
        <v>0</v>
      </c>
      <c r="D73" s="13" t="n">
        <v>0</v>
      </c>
      <c r="E73" s="13" t="n">
        <v>0</v>
      </c>
      <c r="F73" s="13" t="n">
        <v>0</v>
      </c>
      <c r="G73" s="13" t="n">
        <v>9</v>
      </c>
      <c r="H73" s="13" t="n">
        <v>0</v>
      </c>
    </row>
    <row r="74" customFormat="false" ht="15" hidden="false" customHeight="false" outlineLevel="0" collapsed="false">
      <c r="A74" s="4" t="s">
        <v>266</v>
      </c>
      <c r="B74" s="13" t="n">
        <v>0</v>
      </c>
      <c r="C74" s="13" t="n">
        <v>0</v>
      </c>
      <c r="D74" s="13" t="n">
        <v>0</v>
      </c>
      <c r="E74" s="13" t="n">
        <v>0</v>
      </c>
      <c r="F74" s="13" t="n">
        <v>0</v>
      </c>
      <c r="G74" s="13" t="n">
        <v>9</v>
      </c>
      <c r="H74" s="13" t="n">
        <v>0</v>
      </c>
    </row>
    <row r="75" customFormat="false" ht="15" hidden="false" customHeight="false" outlineLevel="0" collapsed="false">
      <c r="A75" s="4" t="s">
        <v>267</v>
      </c>
      <c r="B75" s="13" t="n">
        <v>0</v>
      </c>
      <c r="C75" s="13" t="n">
        <v>0</v>
      </c>
      <c r="D75" s="13" t="n">
        <v>0</v>
      </c>
      <c r="E75" s="13" t="n">
        <v>0</v>
      </c>
      <c r="F75" s="13" t="n">
        <v>0</v>
      </c>
      <c r="G75" s="13" t="n">
        <v>9</v>
      </c>
      <c r="H75" s="13" t="n">
        <v>0</v>
      </c>
    </row>
    <row r="76" customFormat="false" ht="15" hidden="false" customHeight="false" outlineLevel="0" collapsed="false">
      <c r="A76" s="4" t="s">
        <v>268</v>
      </c>
      <c r="B76" s="13" t="n">
        <v>0</v>
      </c>
      <c r="C76" s="13" t="n">
        <v>0</v>
      </c>
      <c r="D76" s="13" t="n">
        <v>0</v>
      </c>
      <c r="E76" s="13" t="n">
        <v>0</v>
      </c>
      <c r="F76" s="13" t="n">
        <v>0</v>
      </c>
      <c r="G76" s="13" t="n">
        <v>9</v>
      </c>
      <c r="H76" s="13" t="n">
        <v>0</v>
      </c>
    </row>
    <row r="77" customFormat="false" ht="15" hidden="false" customHeight="false" outlineLevel="0" collapsed="false">
      <c r="A77" s="4" t="s">
        <v>269</v>
      </c>
      <c r="B77" s="13" t="n">
        <v>1</v>
      </c>
      <c r="C77" s="13" t="n">
        <v>1</v>
      </c>
      <c r="D77" s="13" t="n">
        <v>0</v>
      </c>
      <c r="E77" s="13" t="n">
        <v>0</v>
      </c>
      <c r="F77" s="13" t="n">
        <v>0</v>
      </c>
      <c r="G77" s="13" t="n">
        <v>9</v>
      </c>
      <c r="H77" s="13" t="n">
        <v>0</v>
      </c>
    </row>
    <row r="78" customFormat="false" ht="15" hidden="false" customHeight="false" outlineLevel="0" collapsed="false">
      <c r="A78" s="4" t="s">
        <v>270</v>
      </c>
      <c r="B78" s="13" t="n">
        <v>0</v>
      </c>
      <c r="C78" s="13" t="n">
        <v>0</v>
      </c>
      <c r="D78" s="13" t="n">
        <v>0</v>
      </c>
      <c r="E78" s="13" t="n">
        <v>0</v>
      </c>
      <c r="F78" s="13" t="n">
        <v>0</v>
      </c>
      <c r="G78" s="13" t="n">
        <v>9</v>
      </c>
      <c r="H78" s="13" t="n">
        <v>0</v>
      </c>
    </row>
    <row r="79" customFormat="false" ht="15" hidden="false" customHeight="false" outlineLevel="0" collapsed="false">
      <c r="A79" s="4" t="s">
        <v>271</v>
      </c>
      <c r="B79" s="13" t="n">
        <v>0</v>
      </c>
      <c r="C79" s="13" t="n">
        <v>0</v>
      </c>
      <c r="D79" s="13" t="n">
        <v>0</v>
      </c>
      <c r="E79" s="13" t="n">
        <v>0</v>
      </c>
      <c r="F79" s="13" t="n">
        <v>0</v>
      </c>
      <c r="G79" s="13" t="n">
        <v>9</v>
      </c>
      <c r="H79" s="13" t="n">
        <v>0</v>
      </c>
    </row>
    <row r="80" customFormat="false" ht="15" hidden="false" customHeight="false" outlineLevel="0" collapsed="false">
      <c r="A80" s="4" t="s">
        <v>272</v>
      </c>
      <c r="B80" s="13" t="n">
        <v>0</v>
      </c>
      <c r="C80" s="13" t="n">
        <v>0</v>
      </c>
      <c r="D80" s="13" t="n">
        <v>0</v>
      </c>
      <c r="E80" s="13" t="n">
        <v>0</v>
      </c>
      <c r="F80" s="13" t="n">
        <v>0</v>
      </c>
      <c r="G80" s="13" t="n">
        <v>9</v>
      </c>
      <c r="H80" s="13" t="n">
        <v>0</v>
      </c>
    </row>
    <row r="81" customFormat="false" ht="15" hidden="false" customHeight="false" outlineLevel="0" collapsed="false">
      <c r="A81" s="4" t="s">
        <v>273</v>
      </c>
      <c r="B81" s="13" t="n">
        <v>0</v>
      </c>
      <c r="C81" s="13" t="n">
        <v>0</v>
      </c>
      <c r="D81" s="13" t="n">
        <v>0</v>
      </c>
      <c r="E81" s="13" t="n">
        <v>0</v>
      </c>
      <c r="F81" s="13" t="n">
        <v>0</v>
      </c>
      <c r="G81" s="13" t="n">
        <v>9</v>
      </c>
      <c r="H81" s="13" t="n">
        <v>0</v>
      </c>
    </row>
    <row r="82" customFormat="false" ht="15" hidden="false" customHeight="false" outlineLevel="0" collapsed="false">
      <c r="A82" s="4" t="s">
        <v>274</v>
      </c>
      <c r="B82" s="13" t="n">
        <v>0</v>
      </c>
      <c r="C82" s="13" t="n">
        <v>0</v>
      </c>
      <c r="D82" s="13" t="n">
        <v>0</v>
      </c>
      <c r="E82" s="13" t="n">
        <v>0</v>
      </c>
      <c r="F82" s="13" t="n">
        <v>0</v>
      </c>
      <c r="G82" s="13" t="n">
        <v>9</v>
      </c>
      <c r="H82" s="13" t="n">
        <v>0</v>
      </c>
    </row>
    <row r="83" customFormat="false" ht="15" hidden="false" customHeight="false" outlineLevel="0" collapsed="false">
      <c r="A83" s="4" t="s">
        <v>275</v>
      </c>
      <c r="B83" s="13" t="n">
        <v>0</v>
      </c>
      <c r="C83" s="13" t="n">
        <v>0</v>
      </c>
      <c r="D83" s="13" t="n">
        <v>0</v>
      </c>
      <c r="E83" s="13" t="n">
        <v>0</v>
      </c>
      <c r="F83" s="13" t="n">
        <v>0</v>
      </c>
      <c r="G83" s="13" t="n">
        <v>9</v>
      </c>
      <c r="H83" s="13" t="n">
        <v>0</v>
      </c>
    </row>
    <row r="84" customFormat="false" ht="15" hidden="false" customHeight="false" outlineLevel="0" collapsed="false">
      <c r="A84" s="4" t="s">
        <v>276</v>
      </c>
      <c r="B84" s="13" t="n">
        <v>0</v>
      </c>
      <c r="C84" s="13" t="n">
        <v>0</v>
      </c>
      <c r="D84" s="13" t="n">
        <v>0</v>
      </c>
      <c r="E84" s="13" t="n">
        <v>0</v>
      </c>
      <c r="F84" s="13" t="n">
        <v>0</v>
      </c>
      <c r="G84" s="13" t="n">
        <v>9</v>
      </c>
      <c r="H84" s="13" t="n">
        <v>0</v>
      </c>
    </row>
    <row r="85" customFormat="false" ht="15" hidden="false" customHeight="false" outlineLevel="0" collapsed="false">
      <c r="A85" s="4" t="s">
        <v>277</v>
      </c>
      <c r="B85" s="13" t="n">
        <v>0</v>
      </c>
      <c r="C85" s="13" t="n">
        <v>0</v>
      </c>
      <c r="D85" s="13" t="n">
        <v>0</v>
      </c>
      <c r="E85" s="13" t="n">
        <v>0</v>
      </c>
      <c r="F85" s="13" t="n">
        <v>0</v>
      </c>
      <c r="G85" s="13" t="n">
        <v>9</v>
      </c>
      <c r="H85" s="13" t="n">
        <v>0</v>
      </c>
    </row>
    <row r="86" customFormat="false" ht="15" hidden="false" customHeight="false" outlineLevel="0" collapsed="false">
      <c r="A86" s="4" t="s">
        <v>278</v>
      </c>
      <c r="B86" s="13" t="n">
        <v>2</v>
      </c>
      <c r="C86" s="13" t="n">
        <v>2</v>
      </c>
      <c r="D86" s="13" t="n">
        <v>0</v>
      </c>
      <c r="E86" s="13" t="n">
        <v>0</v>
      </c>
      <c r="F86" s="13" t="n">
        <v>0</v>
      </c>
      <c r="G86" s="13" t="n">
        <v>9</v>
      </c>
      <c r="H86" s="13" t="n">
        <v>0</v>
      </c>
    </row>
    <row r="87" customFormat="false" ht="15" hidden="false" customHeight="false" outlineLevel="0" collapsed="false">
      <c r="A87" s="4" t="s">
        <v>279</v>
      </c>
      <c r="B87" s="13" t="n">
        <v>0</v>
      </c>
      <c r="C87" s="13" t="n">
        <v>0</v>
      </c>
      <c r="D87" s="13" t="n">
        <v>0</v>
      </c>
      <c r="E87" s="13" t="n">
        <v>0</v>
      </c>
      <c r="F87" s="13" t="n">
        <v>0</v>
      </c>
      <c r="G87" s="13" t="n">
        <v>9</v>
      </c>
      <c r="H87" s="13" t="n">
        <v>0</v>
      </c>
    </row>
    <row r="88" customFormat="false" ht="15" hidden="false" customHeight="false" outlineLevel="0" collapsed="false">
      <c r="A88" s="4" t="s">
        <v>280</v>
      </c>
      <c r="B88" s="13" t="n">
        <v>32</v>
      </c>
      <c r="C88" s="13" t="n">
        <v>32</v>
      </c>
      <c r="D88" s="13" t="n">
        <v>0</v>
      </c>
      <c r="E88" s="13" t="n">
        <v>0</v>
      </c>
      <c r="F88" s="13" t="n">
        <v>0</v>
      </c>
      <c r="G88" s="13" t="n">
        <v>9</v>
      </c>
      <c r="H88" s="13" t="n">
        <v>14</v>
      </c>
    </row>
    <row r="89" customFormat="false" ht="15" hidden="false" customHeight="false" outlineLevel="0" collapsed="false">
      <c r="A89" s="4" t="s">
        <v>281</v>
      </c>
      <c r="B89" s="13" t="n">
        <v>10</v>
      </c>
      <c r="C89" s="13" t="n">
        <v>10</v>
      </c>
      <c r="D89" s="13" t="n">
        <v>0</v>
      </c>
      <c r="E89" s="13" t="n">
        <v>0</v>
      </c>
      <c r="F89" s="13" t="n">
        <v>0</v>
      </c>
      <c r="G89" s="13" t="n">
        <v>9</v>
      </c>
      <c r="H89" s="13" t="n">
        <v>4</v>
      </c>
    </row>
    <row r="90" customFormat="false" ht="15" hidden="false" customHeight="false" outlineLevel="0" collapsed="false">
      <c r="A90" s="4" t="s">
        <v>282</v>
      </c>
      <c r="B90" s="13" t="n">
        <v>0</v>
      </c>
      <c r="C90" s="13" t="n">
        <v>0</v>
      </c>
      <c r="D90" s="13" t="n">
        <v>0</v>
      </c>
      <c r="E90" s="13" t="n">
        <v>0</v>
      </c>
      <c r="F90" s="13" t="n">
        <v>0</v>
      </c>
      <c r="G90" s="13" t="n">
        <v>9</v>
      </c>
      <c r="H90" s="13" t="n">
        <v>0</v>
      </c>
    </row>
    <row r="91" customFormat="false" ht="15" hidden="false" customHeight="false" outlineLevel="0" collapsed="false">
      <c r="A91" s="4" t="s">
        <v>283</v>
      </c>
      <c r="B91" s="13" t="n">
        <v>0</v>
      </c>
      <c r="C91" s="13" t="n">
        <v>0</v>
      </c>
      <c r="D91" s="13" t="n">
        <v>0</v>
      </c>
      <c r="E91" s="13" t="n">
        <v>0</v>
      </c>
      <c r="F91" s="13" t="n">
        <v>0</v>
      </c>
      <c r="G91" s="13" t="n">
        <v>9</v>
      </c>
      <c r="H91" s="13" t="n">
        <v>0</v>
      </c>
    </row>
    <row r="92" customFormat="false" ht="15" hidden="false" customHeight="false" outlineLevel="0" collapsed="false">
      <c r="A92" s="4" t="s">
        <v>284</v>
      </c>
      <c r="B92" s="13" t="n">
        <v>0</v>
      </c>
      <c r="C92" s="13" t="n">
        <v>0</v>
      </c>
      <c r="D92" s="13" t="n">
        <v>0</v>
      </c>
      <c r="E92" s="13" t="n">
        <v>0</v>
      </c>
      <c r="F92" s="13" t="n">
        <v>0</v>
      </c>
      <c r="G92" s="13" t="n">
        <v>9</v>
      </c>
      <c r="H92" s="13" t="n">
        <v>0</v>
      </c>
    </row>
    <row r="93" customFormat="false" ht="15" hidden="false" customHeight="false" outlineLevel="0" collapsed="false">
      <c r="A93" s="4" t="s">
        <v>285</v>
      </c>
      <c r="B93" s="13" t="n">
        <v>0</v>
      </c>
      <c r="C93" s="13" t="n">
        <v>0</v>
      </c>
      <c r="D93" s="13" t="n">
        <v>0</v>
      </c>
      <c r="E93" s="13" t="n">
        <v>0</v>
      </c>
      <c r="F93" s="13" t="n">
        <v>0</v>
      </c>
      <c r="G93" s="13" t="n">
        <v>9</v>
      </c>
      <c r="H93" s="13" t="n">
        <v>0</v>
      </c>
    </row>
    <row r="94" customFormat="false" ht="15" hidden="false" customHeight="false" outlineLevel="0" collapsed="false">
      <c r="A94" s="4" t="s">
        <v>286</v>
      </c>
      <c r="B94" s="13" t="n">
        <v>0</v>
      </c>
      <c r="C94" s="13" t="n">
        <v>0</v>
      </c>
      <c r="D94" s="13" t="n">
        <v>0</v>
      </c>
      <c r="E94" s="13" t="n">
        <v>0</v>
      </c>
      <c r="F94" s="13" t="n">
        <v>0</v>
      </c>
      <c r="G94" s="13" t="n">
        <v>9</v>
      </c>
      <c r="H94" s="13" t="n">
        <v>0</v>
      </c>
    </row>
    <row r="95" customFormat="false" ht="15" hidden="false" customHeight="false" outlineLevel="0" collapsed="false">
      <c r="A95" s="4" t="s">
        <v>287</v>
      </c>
      <c r="B95" s="13" t="n">
        <v>0</v>
      </c>
      <c r="C95" s="13" t="n">
        <v>0</v>
      </c>
      <c r="D95" s="13" t="n">
        <v>0</v>
      </c>
      <c r="E95" s="13" t="n">
        <v>0</v>
      </c>
      <c r="F95" s="13" t="n">
        <v>0</v>
      </c>
      <c r="G95" s="13" t="n">
        <v>9</v>
      </c>
      <c r="H95" s="13" t="n">
        <v>0</v>
      </c>
    </row>
    <row r="96" customFormat="false" ht="15" hidden="false" customHeight="false" outlineLevel="0" collapsed="false">
      <c r="A96" s="4" t="s">
        <v>288</v>
      </c>
      <c r="B96" s="13" t="n">
        <v>0</v>
      </c>
      <c r="C96" s="13" t="n">
        <v>0</v>
      </c>
      <c r="D96" s="13" t="n">
        <v>0</v>
      </c>
      <c r="E96" s="13" t="n">
        <v>0</v>
      </c>
      <c r="F96" s="13" t="n">
        <v>0</v>
      </c>
      <c r="G96" s="13" t="n">
        <v>9</v>
      </c>
      <c r="H96" s="13" t="n">
        <v>0</v>
      </c>
    </row>
    <row r="97" customFormat="false" ht="15" hidden="false" customHeight="false" outlineLevel="0" collapsed="false">
      <c r="A97" s="4" t="s">
        <v>289</v>
      </c>
      <c r="B97" s="13" t="n">
        <v>0</v>
      </c>
      <c r="C97" s="13" t="n">
        <v>0</v>
      </c>
      <c r="D97" s="13" t="n">
        <v>0</v>
      </c>
      <c r="E97" s="13" t="n">
        <v>0</v>
      </c>
      <c r="F97" s="13" t="n">
        <v>0</v>
      </c>
      <c r="G97" s="13" t="n">
        <v>9</v>
      </c>
      <c r="H97" s="13" t="n">
        <v>0</v>
      </c>
    </row>
    <row r="98" customFormat="false" ht="15" hidden="false" customHeight="false" outlineLevel="0" collapsed="false">
      <c r="A98" s="4" t="s">
        <v>290</v>
      </c>
      <c r="B98" s="13" t="n">
        <v>0</v>
      </c>
      <c r="C98" s="13" t="n">
        <v>0</v>
      </c>
      <c r="D98" s="13" t="n">
        <v>0</v>
      </c>
      <c r="E98" s="13" t="n">
        <v>0</v>
      </c>
      <c r="F98" s="13" t="n">
        <v>0</v>
      </c>
      <c r="G98" s="13" t="n">
        <v>9</v>
      </c>
      <c r="H98" s="13" t="n">
        <v>0</v>
      </c>
    </row>
    <row r="99" customFormat="false" ht="15" hidden="false" customHeight="false" outlineLevel="0" collapsed="false">
      <c r="A99" s="4" t="s">
        <v>291</v>
      </c>
      <c r="B99" s="13" t="n">
        <v>0</v>
      </c>
      <c r="C99" s="13" t="n">
        <v>0</v>
      </c>
      <c r="D99" s="13" t="n">
        <v>0</v>
      </c>
      <c r="E99" s="13" t="n">
        <v>0</v>
      </c>
      <c r="F99" s="13" t="n">
        <v>0</v>
      </c>
      <c r="G99" s="13" t="n">
        <v>9</v>
      </c>
      <c r="H99" s="13" t="n">
        <v>0</v>
      </c>
    </row>
    <row r="100" customFormat="false" ht="15" hidden="false" customHeight="false" outlineLevel="0" collapsed="false">
      <c r="A100" s="4" t="s">
        <v>292</v>
      </c>
      <c r="B100" s="13" t="n">
        <v>0</v>
      </c>
      <c r="C100" s="13" t="n">
        <v>0</v>
      </c>
      <c r="D100" s="13" t="n">
        <v>0</v>
      </c>
      <c r="E100" s="13" t="n">
        <v>0</v>
      </c>
      <c r="F100" s="13" t="n">
        <v>0</v>
      </c>
      <c r="G100" s="13" t="n">
        <v>9</v>
      </c>
      <c r="H100" s="13" t="n">
        <v>0</v>
      </c>
    </row>
    <row r="101" customFormat="false" ht="15" hidden="false" customHeight="false" outlineLevel="0" collapsed="false">
      <c r="A101" s="4" t="s">
        <v>293</v>
      </c>
      <c r="B101" s="13" t="n">
        <v>6</v>
      </c>
      <c r="C101" s="13" t="n">
        <v>6</v>
      </c>
      <c r="D101" s="13" t="n">
        <v>0</v>
      </c>
      <c r="E101" s="13" t="n">
        <v>0</v>
      </c>
      <c r="F101" s="13" t="n">
        <v>0</v>
      </c>
      <c r="G101" s="13" t="n">
        <v>9</v>
      </c>
      <c r="H101" s="13" t="n">
        <v>0</v>
      </c>
    </row>
    <row r="102" customFormat="false" ht="15" hidden="false" customHeight="false" outlineLevel="0" collapsed="false">
      <c r="A102" s="4" t="s">
        <v>294</v>
      </c>
      <c r="B102" s="13" t="n">
        <v>6</v>
      </c>
      <c r="C102" s="13" t="n">
        <v>6</v>
      </c>
      <c r="D102" s="13" t="n">
        <v>0</v>
      </c>
      <c r="E102" s="13" t="n">
        <v>2</v>
      </c>
      <c r="F102" s="13" t="n">
        <v>0</v>
      </c>
      <c r="G102" s="13" t="n">
        <v>9</v>
      </c>
      <c r="H102" s="13" t="n">
        <v>0</v>
      </c>
    </row>
    <row r="103" customFormat="false" ht="15" hidden="false" customHeight="false" outlineLevel="0" collapsed="false">
      <c r="A103" s="4" t="s">
        <v>295</v>
      </c>
      <c r="B103" s="13" t="n">
        <v>0</v>
      </c>
      <c r="C103" s="13" t="n">
        <v>0</v>
      </c>
      <c r="D103" s="13" t="n">
        <v>0</v>
      </c>
      <c r="E103" s="13" t="n">
        <v>0</v>
      </c>
      <c r="F103" s="13" t="n">
        <v>0</v>
      </c>
      <c r="G103" s="13" t="n">
        <v>9</v>
      </c>
      <c r="H103" s="13" t="n">
        <v>0</v>
      </c>
    </row>
    <row r="104" customFormat="false" ht="15" hidden="false" customHeight="false" outlineLevel="0" collapsed="false">
      <c r="A104" s="4" t="s">
        <v>296</v>
      </c>
      <c r="B104" s="13" t="n">
        <v>1</v>
      </c>
      <c r="C104" s="13" t="n">
        <v>1</v>
      </c>
      <c r="D104" s="13" t="n">
        <v>0</v>
      </c>
      <c r="E104" s="13" t="n">
        <v>0</v>
      </c>
      <c r="F104" s="13" t="n">
        <v>0</v>
      </c>
      <c r="G104" s="13" t="n">
        <v>9</v>
      </c>
      <c r="H104" s="13" t="n">
        <v>0</v>
      </c>
    </row>
    <row r="105" customFormat="false" ht="15" hidden="false" customHeight="false" outlineLevel="0" collapsed="false">
      <c r="A105" s="4" t="s">
        <v>297</v>
      </c>
      <c r="B105" s="13" t="n">
        <v>0</v>
      </c>
      <c r="C105" s="13" t="n">
        <v>0</v>
      </c>
      <c r="D105" s="13" t="n">
        <v>0</v>
      </c>
      <c r="E105" s="13" t="n">
        <v>0</v>
      </c>
      <c r="F105" s="13" t="n">
        <v>0</v>
      </c>
      <c r="G105" s="13" t="n">
        <v>9</v>
      </c>
      <c r="H105" s="13" t="n">
        <v>0</v>
      </c>
    </row>
    <row r="106" customFormat="false" ht="15" hidden="false" customHeight="false" outlineLevel="0" collapsed="false">
      <c r="A106" s="4" t="s">
        <v>298</v>
      </c>
      <c r="B106" s="13" t="n">
        <v>0</v>
      </c>
      <c r="C106" s="13" t="n">
        <v>0</v>
      </c>
      <c r="D106" s="13" t="n">
        <v>0</v>
      </c>
      <c r="E106" s="13" t="n">
        <v>0</v>
      </c>
      <c r="F106" s="13" t="n">
        <v>0</v>
      </c>
      <c r="G106" s="13" t="n">
        <v>9</v>
      </c>
      <c r="H106" s="13" t="n">
        <v>0</v>
      </c>
    </row>
    <row r="107" customFormat="false" ht="15" hidden="false" customHeight="false" outlineLevel="0" collapsed="false">
      <c r="A107" s="4" t="s">
        <v>299</v>
      </c>
      <c r="B107" s="13" t="n">
        <v>0</v>
      </c>
      <c r="C107" s="13" t="n">
        <v>0</v>
      </c>
      <c r="D107" s="13" t="n">
        <v>0</v>
      </c>
      <c r="E107" s="13" t="n">
        <v>0</v>
      </c>
      <c r="F107" s="13" t="n">
        <v>0</v>
      </c>
      <c r="G107" s="13" t="n">
        <v>9</v>
      </c>
      <c r="H107" s="13" t="n">
        <v>0</v>
      </c>
    </row>
    <row r="108" customFormat="false" ht="15" hidden="false" customHeight="false" outlineLevel="0" collapsed="false">
      <c r="A108" s="4" t="s">
        <v>300</v>
      </c>
      <c r="B108" s="13" t="n">
        <v>0</v>
      </c>
      <c r="C108" s="13" t="n">
        <v>0</v>
      </c>
      <c r="D108" s="13" t="n">
        <v>0</v>
      </c>
      <c r="E108" s="13" t="n">
        <v>0</v>
      </c>
      <c r="F108" s="13" t="n">
        <v>0</v>
      </c>
      <c r="G108" s="13" t="n">
        <v>9</v>
      </c>
      <c r="H108" s="13" t="n">
        <v>0</v>
      </c>
    </row>
    <row r="109" customFormat="false" ht="15" hidden="false" customHeight="false" outlineLevel="0" collapsed="false">
      <c r="A109" s="4" t="s">
        <v>301</v>
      </c>
      <c r="B109" s="13" t="n">
        <v>5</v>
      </c>
      <c r="C109" s="13" t="n">
        <v>5</v>
      </c>
      <c r="D109" s="13" t="n">
        <v>0</v>
      </c>
      <c r="E109" s="13" t="n">
        <v>0</v>
      </c>
      <c r="F109" s="13" t="n">
        <v>0</v>
      </c>
      <c r="G109" s="13" t="n">
        <v>9</v>
      </c>
      <c r="H109" s="13" t="n">
        <v>0</v>
      </c>
    </row>
    <row r="110" customFormat="false" ht="15" hidden="false" customHeight="false" outlineLevel="0" collapsed="false">
      <c r="A110" s="4" t="s">
        <v>302</v>
      </c>
      <c r="B110" s="13" t="n">
        <v>0</v>
      </c>
      <c r="C110" s="13" t="n">
        <v>0</v>
      </c>
      <c r="D110" s="13" t="n">
        <v>0</v>
      </c>
      <c r="E110" s="13" t="n">
        <v>0</v>
      </c>
      <c r="F110" s="13" t="n">
        <v>0</v>
      </c>
      <c r="G110" s="13" t="n">
        <v>9</v>
      </c>
      <c r="H110" s="13" t="n">
        <v>0</v>
      </c>
    </row>
    <row r="111" customFormat="false" ht="15" hidden="false" customHeight="false" outlineLevel="0" collapsed="false">
      <c r="A111" s="4" t="s">
        <v>303</v>
      </c>
      <c r="B111" s="13" t="n">
        <v>0</v>
      </c>
      <c r="C111" s="13" t="n">
        <v>0</v>
      </c>
      <c r="D111" s="13" t="n">
        <v>0</v>
      </c>
      <c r="E111" s="13" t="n">
        <v>0</v>
      </c>
      <c r="F111" s="13" t="n">
        <v>0</v>
      </c>
      <c r="G111" s="13" t="n">
        <v>9</v>
      </c>
      <c r="H111" s="13" t="n">
        <v>0</v>
      </c>
    </row>
    <row r="112" customFormat="false" ht="15" hidden="false" customHeight="false" outlineLevel="0" collapsed="false">
      <c r="A112" s="4" t="s">
        <v>304</v>
      </c>
      <c r="B112" s="13" t="n">
        <v>0</v>
      </c>
      <c r="C112" s="13" t="n">
        <v>0</v>
      </c>
      <c r="D112" s="13" t="n">
        <v>0</v>
      </c>
      <c r="E112" s="13" t="n">
        <v>0</v>
      </c>
      <c r="F112" s="13" t="n">
        <v>0</v>
      </c>
      <c r="G112" s="13" t="n">
        <v>9</v>
      </c>
      <c r="H112" s="13" t="n">
        <v>0</v>
      </c>
    </row>
    <row r="113" customFormat="false" ht="15" hidden="false" customHeight="false" outlineLevel="0" collapsed="false">
      <c r="A113" s="4" t="s">
        <v>305</v>
      </c>
      <c r="B113" s="13" t="n">
        <v>0</v>
      </c>
      <c r="C113" s="13" t="n">
        <v>0</v>
      </c>
      <c r="D113" s="13" t="n">
        <v>0</v>
      </c>
      <c r="E113" s="13" t="n">
        <v>0</v>
      </c>
      <c r="F113" s="13" t="n">
        <v>0</v>
      </c>
      <c r="G113" s="13" t="n">
        <v>9</v>
      </c>
      <c r="H113" s="13" t="n">
        <v>0</v>
      </c>
    </row>
    <row r="114" customFormat="false" ht="15" hidden="false" customHeight="false" outlineLevel="0" collapsed="false">
      <c r="A114" s="4" t="s">
        <v>306</v>
      </c>
      <c r="B114" s="13" t="n">
        <v>0</v>
      </c>
      <c r="C114" s="13" t="n">
        <v>0</v>
      </c>
      <c r="D114" s="13" t="n">
        <v>0</v>
      </c>
      <c r="E114" s="13" t="n">
        <v>0</v>
      </c>
      <c r="F114" s="13" t="n">
        <v>0</v>
      </c>
      <c r="G114" s="13" t="n">
        <v>9</v>
      </c>
      <c r="H114" s="13" t="n">
        <v>0</v>
      </c>
    </row>
    <row r="115" customFormat="false" ht="15" hidden="false" customHeight="false" outlineLevel="0" collapsed="false">
      <c r="A115" s="4" t="s">
        <v>307</v>
      </c>
      <c r="B115" s="13" t="n">
        <v>1</v>
      </c>
      <c r="C115" s="13" t="n">
        <v>1</v>
      </c>
      <c r="D115" s="13" t="n">
        <v>0</v>
      </c>
      <c r="E115" s="13" t="n">
        <v>0</v>
      </c>
      <c r="F115" s="13" t="n">
        <v>0</v>
      </c>
      <c r="G115" s="13" t="n">
        <v>9</v>
      </c>
      <c r="H115" s="13" t="n">
        <v>0</v>
      </c>
    </row>
    <row r="116" customFormat="false" ht="15" hidden="false" customHeight="false" outlineLevel="0" collapsed="false">
      <c r="A116" s="4" t="s">
        <v>308</v>
      </c>
      <c r="B116" s="13" t="n">
        <v>20</v>
      </c>
      <c r="C116" s="13" t="n">
        <v>20</v>
      </c>
      <c r="D116" s="13" t="n">
        <v>0</v>
      </c>
      <c r="E116" s="13" t="n">
        <v>0</v>
      </c>
      <c r="F116" s="13" t="n">
        <v>1</v>
      </c>
      <c r="G116" s="13" t="n">
        <v>10</v>
      </c>
      <c r="H116" s="13" t="n">
        <v>3</v>
      </c>
    </row>
    <row r="117" customFormat="false" ht="15" hidden="false" customHeight="false" outlineLevel="0" collapsed="false">
      <c r="A117" s="4" t="s">
        <v>309</v>
      </c>
      <c r="B117" s="13" t="n">
        <v>4</v>
      </c>
      <c r="C117" s="13" t="n">
        <v>4</v>
      </c>
      <c r="D117" s="13" t="n">
        <v>0</v>
      </c>
      <c r="E117" s="13" t="n">
        <v>0</v>
      </c>
      <c r="F117" s="13" t="n">
        <v>0</v>
      </c>
      <c r="G117" s="13" t="n">
        <v>10</v>
      </c>
      <c r="H117" s="13" t="n">
        <v>0</v>
      </c>
    </row>
    <row r="118" customFormat="false" ht="15" hidden="false" customHeight="false" outlineLevel="0" collapsed="false">
      <c r="A118" s="4" t="s">
        <v>310</v>
      </c>
      <c r="B118" s="13" t="n">
        <v>7</v>
      </c>
      <c r="C118" s="13" t="n">
        <v>7</v>
      </c>
      <c r="D118" s="13" t="n">
        <v>0</v>
      </c>
      <c r="E118" s="13" t="n">
        <v>0</v>
      </c>
      <c r="F118" s="13" t="n">
        <v>0</v>
      </c>
      <c r="G118" s="13" t="n">
        <v>10</v>
      </c>
      <c r="H118" s="13" t="n">
        <v>0</v>
      </c>
    </row>
    <row r="119" customFormat="false" ht="15" hidden="false" customHeight="false" outlineLevel="0" collapsed="false">
      <c r="A119" s="4" t="s">
        <v>311</v>
      </c>
      <c r="B119" s="13" t="n">
        <v>2</v>
      </c>
      <c r="C119" s="13" t="n">
        <v>2</v>
      </c>
      <c r="D119" s="13" t="n">
        <v>0</v>
      </c>
      <c r="E119" s="13" t="n">
        <v>0</v>
      </c>
      <c r="F119" s="13" t="n">
        <v>0</v>
      </c>
      <c r="G119" s="13" t="n">
        <v>10</v>
      </c>
      <c r="H119" s="13" t="n">
        <v>0</v>
      </c>
    </row>
    <row r="120" customFormat="false" ht="15" hidden="false" customHeight="false" outlineLevel="0" collapsed="false">
      <c r="A120" s="4" t="s">
        <v>312</v>
      </c>
      <c r="B120" s="13" t="n">
        <v>6</v>
      </c>
      <c r="C120" s="13" t="n">
        <v>6</v>
      </c>
      <c r="D120" s="13" t="n">
        <v>0</v>
      </c>
      <c r="E120" s="13" t="n">
        <v>0</v>
      </c>
      <c r="F120" s="13" t="n">
        <v>0</v>
      </c>
      <c r="G120" s="13" t="n">
        <v>10</v>
      </c>
      <c r="H120" s="13" t="n">
        <v>0</v>
      </c>
    </row>
    <row r="121" customFormat="false" ht="15" hidden="false" customHeight="false" outlineLevel="0" collapsed="false">
      <c r="A121" s="4" t="s">
        <v>313</v>
      </c>
      <c r="B121" s="13" t="n">
        <v>5</v>
      </c>
      <c r="C121" s="13" t="n">
        <v>5</v>
      </c>
      <c r="D121" s="13" t="n">
        <v>0</v>
      </c>
      <c r="E121" s="13" t="n">
        <v>0</v>
      </c>
      <c r="F121" s="13" t="n">
        <v>0</v>
      </c>
      <c r="G121" s="13" t="n">
        <v>10</v>
      </c>
      <c r="H121" s="13" t="n">
        <v>0</v>
      </c>
    </row>
    <row r="122" customFormat="false" ht="15" hidden="false" customHeight="false" outlineLevel="0" collapsed="false">
      <c r="A122" s="4" t="s">
        <v>314</v>
      </c>
      <c r="B122" s="13" t="n">
        <v>5</v>
      </c>
      <c r="C122" s="13" t="n">
        <v>5</v>
      </c>
      <c r="D122" s="13" t="n">
        <v>0</v>
      </c>
      <c r="E122" s="13" t="n">
        <v>0</v>
      </c>
      <c r="F122" s="13" t="n">
        <v>0</v>
      </c>
      <c r="G122" s="13" t="n">
        <v>10</v>
      </c>
      <c r="H122" s="13" t="n">
        <v>0</v>
      </c>
    </row>
    <row r="123" customFormat="false" ht="15" hidden="false" customHeight="false" outlineLevel="0" collapsed="false">
      <c r="A123" s="4" t="s">
        <v>315</v>
      </c>
      <c r="B123" s="13" t="n">
        <v>6</v>
      </c>
      <c r="C123" s="13" t="n">
        <v>6</v>
      </c>
      <c r="D123" s="13" t="n">
        <v>0</v>
      </c>
      <c r="E123" s="13" t="n">
        <v>0</v>
      </c>
      <c r="F123" s="13" t="n">
        <v>0</v>
      </c>
      <c r="G123" s="13" t="n">
        <v>10</v>
      </c>
      <c r="H123" s="13" t="n">
        <v>0</v>
      </c>
    </row>
    <row r="124" customFormat="false" ht="15" hidden="false" customHeight="false" outlineLevel="0" collapsed="false">
      <c r="A124" s="4" t="s">
        <v>316</v>
      </c>
      <c r="B124" s="13" t="n">
        <v>6</v>
      </c>
      <c r="C124" s="13" t="n">
        <v>6</v>
      </c>
      <c r="D124" s="13" t="n">
        <v>0</v>
      </c>
      <c r="E124" s="13" t="n">
        <v>0</v>
      </c>
      <c r="F124" s="13" t="n">
        <v>0</v>
      </c>
      <c r="G124" s="13" t="n">
        <v>10</v>
      </c>
      <c r="H124" s="13" t="n">
        <v>0</v>
      </c>
    </row>
    <row r="125" customFormat="false" ht="15" hidden="false" customHeight="false" outlineLevel="0" collapsed="false">
      <c r="A125" s="4" t="s">
        <v>317</v>
      </c>
      <c r="B125" s="13" t="n">
        <v>1</v>
      </c>
      <c r="C125" s="13" t="n">
        <v>1</v>
      </c>
      <c r="D125" s="13" t="n">
        <v>0</v>
      </c>
      <c r="E125" s="13" t="n">
        <v>0</v>
      </c>
      <c r="F125" s="13" t="n">
        <v>0</v>
      </c>
      <c r="G125" s="13" t="n">
        <v>10</v>
      </c>
      <c r="H125" s="13" t="n">
        <v>0</v>
      </c>
    </row>
    <row r="126" customFormat="false" ht="15" hidden="false" customHeight="false" outlineLevel="0" collapsed="false">
      <c r="A126" s="4" t="s">
        <v>318</v>
      </c>
      <c r="B126" s="13" t="n">
        <v>4</v>
      </c>
      <c r="C126" s="13" t="n">
        <v>4</v>
      </c>
      <c r="D126" s="13" t="n">
        <v>0</v>
      </c>
      <c r="E126" s="13" t="n">
        <v>0</v>
      </c>
      <c r="F126" s="13" t="n">
        <v>0</v>
      </c>
      <c r="G126" s="13" t="n">
        <v>10</v>
      </c>
      <c r="H126" s="13" t="n">
        <v>0</v>
      </c>
    </row>
    <row r="127" customFormat="false" ht="15" hidden="false" customHeight="false" outlineLevel="0" collapsed="false">
      <c r="A127" s="4" t="s">
        <v>319</v>
      </c>
      <c r="B127" s="13" t="n">
        <v>4</v>
      </c>
      <c r="C127" s="13" t="n">
        <v>4</v>
      </c>
      <c r="D127" s="13" t="n">
        <v>0</v>
      </c>
      <c r="E127" s="13" t="n">
        <v>0</v>
      </c>
      <c r="F127" s="13" t="n">
        <v>0</v>
      </c>
      <c r="G127" s="13" t="n">
        <v>10</v>
      </c>
      <c r="H127" s="13" t="n">
        <v>0</v>
      </c>
    </row>
    <row r="128" customFormat="false" ht="15" hidden="false" customHeight="false" outlineLevel="0" collapsed="false">
      <c r="A128" s="4" t="s">
        <v>320</v>
      </c>
      <c r="B128" s="13" t="n">
        <v>2</v>
      </c>
      <c r="C128" s="13" t="n">
        <v>2</v>
      </c>
      <c r="D128" s="13" t="n">
        <v>0</v>
      </c>
      <c r="E128" s="13" t="n">
        <v>0</v>
      </c>
      <c r="F128" s="13" t="n">
        <v>0</v>
      </c>
      <c r="G128" s="13" t="n">
        <v>10</v>
      </c>
      <c r="H128" s="13" t="n">
        <v>0</v>
      </c>
    </row>
    <row r="129" customFormat="false" ht="15" hidden="false" customHeight="false" outlineLevel="0" collapsed="false">
      <c r="A129" s="4" t="s">
        <v>321</v>
      </c>
      <c r="B129" s="13" t="n">
        <v>2</v>
      </c>
      <c r="C129" s="13" t="n">
        <v>2</v>
      </c>
      <c r="D129" s="13" t="n">
        <v>0</v>
      </c>
      <c r="E129" s="13" t="n">
        <v>0</v>
      </c>
      <c r="F129" s="13" t="n">
        <v>0</v>
      </c>
      <c r="G129" s="13" t="n">
        <v>10</v>
      </c>
      <c r="H129" s="13" t="n">
        <v>1</v>
      </c>
    </row>
    <row r="130" customFormat="false" ht="15" hidden="false" customHeight="false" outlineLevel="0" collapsed="false">
      <c r="A130" s="4" t="s">
        <v>322</v>
      </c>
      <c r="B130" s="13" t="n">
        <v>5</v>
      </c>
      <c r="C130" s="13" t="n">
        <v>5</v>
      </c>
      <c r="D130" s="13" t="n">
        <v>0</v>
      </c>
      <c r="E130" s="13" t="n">
        <v>0</v>
      </c>
      <c r="F130" s="13" t="n">
        <v>0</v>
      </c>
      <c r="G130" s="13" t="n">
        <v>10</v>
      </c>
      <c r="H130" s="13" t="n">
        <v>0</v>
      </c>
    </row>
    <row r="131" customFormat="false" ht="15" hidden="false" customHeight="false" outlineLevel="0" collapsed="false">
      <c r="A131" s="4" t="s">
        <v>323</v>
      </c>
      <c r="B131" s="13" t="n">
        <v>0</v>
      </c>
      <c r="C131" s="13" t="n">
        <v>0</v>
      </c>
      <c r="D131" s="13" t="n">
        <v>0</v>
      </c>
      <c r="E131" s="13" t="n">
        <v>0</v>
      </c>
      <c r="F131" s="13" t="n">
        <v>0</v>
      </c>
      <c r="G131" s="13" t="n">
        <v>10</v>
      </c>
      <c r="H131" s="13" t="n">
        <v>0</v>
      </c>
    </row>
    <row r="132" customFormat="false" ht="15" hidden="false" customHeight="false" outlineLevel="0" collapsed="false">
      <c r="A132" s="4" t="s">
        <v>324</v>
      </c>
      <c r="B132" s="13" t="n">
        <v>0</v>
      </c>
      <c r="C132" s="13" t="n">
        <v>0</v>
      </c>
      <c r="D132" s="13" t="n">
        <v>0</v>
      </c>
      <c r="E132" s="13" t="n">
        <v>0</v>
      </c>
      <c r="F132" s="13" t="n">
        <v>0</v>
      </c>
      <c r="G132" s="13" t="n">
        <v>10</v>
      </c>
      <c r="H132" s="13" t="n">
        <v>0</v>
      </c>
    </row>
    <row r="133" customFormat="false" ht="15" hidden="false" customHeight="false" outlineLevel="0" collapsed="false">
      <c r="A133" s="4" t="s">
        <v>325</v>
      </c>
      <c r="B133" s="13" t="n">
        <v>1</v>
      </c>
      <c r="C133" s="13" t="n">
        <v>1</v>
      </c>
      <c r="D133" s="13" t="n">
        <v>0</v>
      </c>
      <c r="E133" s="13" t="n">
        <v>0</v>
      </c>
      <c r="F133" s="13" t="n">
        <v>0</v>
      </c>
      <c r="G133" s="13" t="n">
        <v>10</v>
      </c>
      <c r="H133" s="13" t="n">
        <v>0</v>
      </c>
    </row>
    <row r="134" customFormat="false" ht="15" hidden="false" customHeight="false" outlineLevel="0" collapsed="false">
      <c r="A134" s="4" t="s">
        <v>326</v>
      </c>
      <c r="B134" s="13" t="n">
        <v>0</v>
      </c>
      <c r="C134" s="13" t="n">
        <v>0</v>
      </c>
      <c r="D134" s="13" t="n">
        <v>0</v>
      </c>
      <c r="E134" s="13" t="n">
        <v>0</v>
      </c>
      <c r="F134" s="13" t="n">
        <v>0</v>
      </c>
      <c r="G134" s="13" t="n">
        <v>10</v>
      </c>
      <c r="H134" s="13" t="n">
        <v>0</v>
      </c>
    </row>
    <row r="135" customFormat="false" ht="15" hidden="false" customHeight="false" outlineLevel="0" collapsed="false">
      <c r="A135" s="4" t="s">
        <v>327</v>
      </c>
      <c r="B135" s="13" t="n">
        <v>0</v>
      </c>
      <c r="C135" s="13" t="n">
        <v>0</v>
      </c>
      <c r="D135" s="13" t="n">
        <v>0</v>
      </c>
      <c r="E135" s="13" t="n">
        <v>0</v>
      </c>
      <c r="F135" s="13" t="n">
        <v>0</v>
      </c>
      <c r="G135" s="13" t="n">
        <v>10</v>
      </c>
      <c r="H135" s="13" t="n">
        <v>0</v>
      </c>
    </row>
    <row r="136" customFormat="false" ht="15" hidden="false" customHeight="false" outlineLevel="0" collapsed="false">
      <c r="A136" s="4" t="s">
        <v>328</v>
      </c>
      <c r="B136" s="13" t="n">
        <v>9</v>
      </c>
      <c r="C136" s="13" t="n">
        <v>9</v>
      </c>
      <c r="D136" s="13" t="n">
        <v>0</v>
      </c>
      <c r="E136" s="13" t="n">
        <v>0</v>
      </c>
      <c r="F136" s="13" t="n">
        <v>0</v>
      </c>
      <c r="G136" s="13" t="n">
        <v>10</v>
      </c>
      <c r="H136" s="13" t="n">
        <v>0</v>
      </c>
    </row>
    <row r="137" customFormat="false" ht="15" hidden="false" customHeight="false" outlineLevel="0" collapsed="false">
      <c r="A137" s="4" t="s">
        <v>329</v>
      </c>
      <c r="B137" s="13" t="n">
        <v>2</v>
      </c>
      <c r="C137" s="13" t="n">
        <v>2</v>
      </c>
      <c r="D137" s="13" t="n">
        <v>0</v>
      </c>
      <c r="E137" s="13" t="n">
        <v>0</v>
      </c>
      <c r="F137" s="13" t="n">
        <v>0</v>
      </c>
      <c r="G137" s="13" t="n">
        <v>10</v>
      </c>
      <c r="H137" s="13" t="n">
        <v>0</v>
      </c>
    </row>
    <row r="138" customFormat="false" ht="15" hidden="false" customHeight="false" outlineLevel="0" collapsed="false">
      <c r="A138" s="4" t="s">
        <v>330</v>
      </c>
      <c r="B138" s="13" t="n">
        <v>1</v>
      </c>
      <c r="C138" s="13" t="n">
        <v>1</v>
      </c>
      <c r="D138" s="13" t="n">
        <v>0</v>
      </c>
      <c r="E138" s="13" t="n">
        <v>0</v>
      </c>
      <c r="F138" s="13" t="n">
        <v>0</v>
      </c>
      <c r="G138" s="13" t="n">
        <v>10</v>
      </c>
      <c r="H138" s="13" t="n">
        <v>0</v>
      </c>
    </row>
    <row r="139" customFormat="false" ht="15" hidden="false" customHeight="false" outlineLevel="0" collapsed="false">
      <c r="A139" s="4" t="s">
        <v>331</v>
      </c>
      <c r="B139" s="13" t="n">
        <v>0</v>
      </c>
      <c r="C139" s="13" t="n">
        <v>0</v>
      </c>
      <c r="D139" s="13" t="n">
        <v>0</v>
      </c>
      <c r="E139" s="13" t="n">
        <v>0</v>
      </c>
      <c r="F139" s="13" t="n">
        <v>0</v>
      </c>
      <c r="G139" s="13" t="n">
        <v>10</v>
      </c>
      <c r="H139" s="13" t="n">
        <v>0</v>
      </c>
    </row>
    <row r="140" customFormat="false" ht="15" hidden="false" customHeight="false" outlineLevel="0" collapsed="false">
      <c r="A140" s="4" t="s">
        <v>332</v>
      </c>
      <c r="B140" s="13" t="n">
        <v>0</v>
      </c>
      <c r="C140" s="13" t="n">
        <v>0</v>
      </c>
      <c r="D140" s="13" t="n">
        <v>0</v>
      </c>
      <c r="E140" s="13" t="n">
        <v>0</v>
      </c>
      <c r="F140" s="13" t="n">
        <v>0</v>
      </c>
      <c r="G140" s="13" t="n">
        <v>10</v>
      </c>
      <c r="H140" s="13" t="n">
        <v>0</v>
      </c>
    </row>
    <row r="141" customFormat="false" ht="15" hidden="false" customHeight="false" outlineLevel="0" collapsed="false">
      <c r="A141" s="4" t="s">
        <v>333</v>
      </c>
      <c r="B141" s="13" t="n">
        <v>0</v>
      </c>
      <c r="C141" s="13" t="n">
        <v>0</v>
      </c>
      <c r="D141" s="13" t="n">
        <v>0</v>
      </c>
      <c r="E141" s="13" t="n">
        <v>0</v>
      </c>
      <c r="F141" s="13" t="n">
        <v>0</v>
      </c>
      <c r="G141" s="13" t="n">
        <v>10</v>
      </c>
      <c r="H141" s="13" t="n">
        <v>0</v>
      </c>
    </row>
    <row r="142" customFormat="false" ht="15" hidden="false" customHeight="false" outlineLevel="0" collapsed="false">
      <c r="A142" s="4" t="s">
        <v>334</v>
      </c>
      <c r="B142" s="13" t="n">
        <v>0</v>
      </c>
      <c r="C142" s="13" t="n">
        <v>0</v>
      </c>
      <c r="D142" s="13" t="n">
        <v>0</v>
      </c>
      <c r="E142" s="13" t="n">
        <v>0</v>
      </c>
      <c r="F142" s="13" t="n">
        <v>0</v>
      </c>
      <c r="G142" s="13" t="n">
        <v>10</v>
      </c>
      <c r="H142" s="13" t="n">
        <v>0</v>
      </c>
    </row>
    <row r="143" customFormat="false" ht="15" hidden="false" customHeight="false" outlineLevel="0" collapsed="false">
      <c r="A143" s="4" t="s">
        <v>335</v>
      </c>
      <c r="B143" s="13" t="n">
        <v>0</v>
      </c>
      <c r="C143" s="13" t="n">
        <v>0</v>
      </c>
      <c r="D143" s="13" t="n">
        <v>0</v>
      </c>
      <c r="E143" s="13" t="n">
        <v>0</v>
      </c>
      <c r="F143" s="13" t="n">
        <v>0</v>
      </c>
      <c r="G143" s="13" t="n">
        <v>10</v>
      </c>
      <c r="H143" s="13" t="n">
        <v>0</v>
      </c>
    </row>
    <row r="144" customFormat="false" ht="15" hidden="false" customHeight="false" outlineLevel="0" collapsed="false">
      <c r="A144" s="4" t="s">
        <v>336</v>
      </c>
      <c r="B144" s="13" t="n">
        <v>0</v>
      </c>
      <c r="C144" s="13" t="n">
        <v>0</v>
      </c>
      <c r="D144" s="13" t="n">
        <v>0</v>
      </c>
      <c r="E144" s="13" t="n">
        <v>0</v>
      </c>
      <c r="F144" s="13" t="n">
        <v>0</v>
      </c>
      <c r="G144" s="13" t="n">
        <v>10</v>
      </c>
      <c r="H144" s="13" t="n">
        <v>0</v>
      </c>
    </row>
    <row r="145" customFormat="false" ht="15" hidden="false" customHeight="false" outlineLevel="0" collapsed="false">
      <c r="A145" s="4" t="s">
        <v>337</v>
      </c>
      <c r="B145" s="13" t="n">
        <v>0</v>
      </c>
      <c r="C145" s="13" t="n">
        <v>0</v>
      </c>
      <c r="D145" s="13" t="n">
        <v>0</v>
      </c>
      <c r="E145" s="13" t="n">
        <v>0</v>
      </c>
      <c r="F145" s="13" t="n">
        <v>0</v>
      </c>
      <c r="G145" s="13" t="n">
        <v>10</v>
      </c>
      <c r="H145" s="13" t="n">
        <v>0</v>
      </c>
    </row>
    <row r="146" customFormat="false" ht="15" hidden="false" customHeight="false" outlineLevel="0" collapsed="false">
      <c r="A146" s="4" t="s">
        <v>338</v>
      </c>
      <c r="B146" s="13" t="n">
        <v>0</v>
      </c>
      <c r="C146" s="13" t="n">
        <v>0</v>
      </c>
      <c r="D146" s="13" t="n">
        <v>0</v>
      </c>
      <c r="E146" s="13" t="n">
        <v>0</v>
      </c>
      <c r="F146" s="13" t="n">
        <v>0</v>
      </c>
      <c r="G146" s="13" t="n">
        <v>10</v>
      </c>
      <c r="H146" s="13" t="n">
        <v>0</v>
      </c>
    </row>
    <row r="147" customFormat="false" ht="15" hidden="false" customHeight="false" outlineLevel="0" collapsed="false">
      <c r="A147" s="4" t="s">
        <v>339</v>
      </c>
      <c r="B147" s="13" t="n">
        <v>0</v>
      </c>
      <c r="C147" s="13" t="n">
        <v>0</v>
      </c>
      <c r="D147" s="13" t="n">
        <v>0</v>
      </c>
      <c r="E147" s="13" t="n">
        <v>0</v>
      </c>
      <c r="F147" s="13" t="n">
        <v>0</v>
      </c>
      <c r="G147" s="13" t="n">
        <v>10</v>
      </c>
      <c r="H147" s="13" t="n">
        <v>0</v>
      </c>
    </row>
    <row r="148" customFormat="false" ht="15" hidden="false" customHeight="false" outlineLevel="0" collapsed="false">
      <c r="A148" s="4" t="s">
        <v>340</v>
      </c>
      <c r="B148" s="13" t="n">
        <v>0</v>
      </c>
      <c r="C148" s="13" t="n">
        <v>0</v>
      </c>
      <c r="D148" s="13" t="n">
        <v>0</v>
      </c>
      <c r="E148" s="13" t="n">
        <v>0</v>
      </c>
      <c r="F148" s="13" t="n">
        <v>0</v>
      </c>
      <c r="G148" s="13" t="n">
        <v>10</v>
      </c>
      <c r="H148" s="13" t="n">
        <v>0</v>
      </c>
    </row>
    <row r="149" customFormat="false" ht="15" hidden="false" customHeight="false" outlineLevel="0" collapsed="false">
      <c r="A149" s="4" t="s">
        <v>341</v>
      </c>
      <c r="B149" s="13" t="n">
        <v>0</v>
      </c>
      <c r="C149" s="13" t="n">
        <v>0</v>
      </c>
      <c r="D149" s="13" t="n">
        <v>0</v>
      </c>
      <c r="E149" s="13" t="n">
        <v>0</v>
      </c>
      <c r="F149" s="13" t="n">
        <v>0</v>
      </c>
      <c r="G149" s="13" t="n">
        <v>10</v>
      </c>
      <c r="H149" s="13" t="n">
        <v>0</v>
      </c>
    </row>
    <row r="150" customFormat="false" ht="15" hidden="false" customHeight="false" outlineLevel="0" collapsed="false">
      <c r="A150" s="4" t="s">
        <v>342</v>
      </c>
      <c r="B150" s="13" t="n">
        <v>6</v>
      </c>
      <c r="C150" s="13" t="n">
        <v>6</v>
      </c>
      <c r="D150" s="13" t="n">
        <v>0</v>
      </c>
      <c r="E150" s="13" t="n">
        <v>0</v>
      </c>
      <c r="F150" s="13" t="n">
        <v>0</v>
      </c>
      <c r="G150" s="13" t="n">
        <v>10</v>
      </c>
      <c r="H150" s="13" t="n">
        <v>0</v>
      </c>
    </row>
    <row r="151" customFormat="false" ht="15" hidden="false" customHeight="false" outlineLevel="0" collapsed="false">
      <c r="A151" s="4" t="s">
        <v>343</v>
      </c>
      <c r="B151" s="13" t="n">
        <v>142</v>
      </c>
      <c r="C151" s="13" t="n">
        <v>142</v>
      </c>
      <c r="D151" s="13" t="n">
        <v>0</v>
      </c>
      <c r="E151" s="13" t="n">
        <v>1</v>
      </c>
      <c r="F151" s="13" t="n">
        <v>0</v>
      </c>
      <c r="G151" s="13" t="n">
        <v>10</v>
      </c>
      <c r="H151" s="13" t="n">
        <v>0</v>
      </c>
    </row>
    <row r="152" customFormat="false" ht="15" hidden="false" customHeight="false" outlineLevel="0" collapsed="false">
      <c r="A152" s="4" t="s">
        <v>97</v>
      </c>
      <c r="B152" s="13" t="n">
        <v>861</v>
      </c>
      <c r="C152" s="13" t="n">
        <v>28</v>
      </c>
      <c r="D152" s="13" t="n">
        <v>833</v>
      </c>
      <c r="E152" s="13" t="n">
        <v>7</v>
      </c>
      <c r="F152" s="13" t="n">
        <v>0</v>
      </c>
      <c r="G152" s="13" t="n">
        <v>10</v>
      </c>
      <c r="H152" s="13" t="n">
        <v>0</v>
      </c>
    </row>
    <row r="153" customFormat="false" ht="15" hidden="false" customHeight="false" outlineLevel="0" collapsed="false">
      <c r="A153" s="4" t="s">
        <v>99</v>
      </c>
      <c r="B153" s="13" t="n">
        <v>320</v>
      </c>
      <c r="C153" s="13" t="n">
        <v>2</v>
      </c>
      <c r="D153" s="13" t="n">
        <v>318</v>
      </c>
      <c r="E153" s="13" t="n">
        <v>2</v>
      </c>
      <c r="F153" s="13" t="n">
        <v>0</v>
      </c>
      <c r="G153" s="13" t="n">
        <v>10</v>
      </c>
      <c r="H153" s="13" t="n">
        <v>1</v>
      </c>
    </row>
    <row r="154" customFormat="false" ht="15" hidden="false" customHeight="false" outlineLevel="0" collapsed="false">
      <c r="A154" s="4" t="s">
        <v>100</v>
      </c>
      <c r="B154" s="13" t="n">
        <v>5</v>
      </c>
      <c r="C154" s="13" t="n">
        <v>2</v>
      </c>
      <c r="D154" s="13" t="n">
        <v>3</v>
      </c>
      <c r="E154" s="13" t="n">
        <v>0</v>
      </c>
      <c r="F154" s="13" t="n">
        <v>0</v>
      </c>
      <c r="G154" s="13" t="n">
        <v>10</v>
      </c>
      <c r="H154" s="13" t="n">
        <v>0</v>
      </c>
    </row>
    <row r="155" customFormat="false" ht="15" hidden="false" customHeight="false" outlineLevel="0" collapsed="false">
      <c r="A155" s="4" t="s">
        <v>101</v>
      </c>
      <c r="B155" s="13" t="n">
        <v>10</v>
      </c>
      <c r="C155" s="13" t="n">
        <v>3</v>
      </c>
      <c r="D155" s="13" t="n">
        <v>7</v>
      </c>
      <c r="E155" s="13" t="n">
        <v>0</v>
      </c>
      <c r="F155" s="13" t="n">
        <v>0</v>
      </c>
      <c r="G155" s="13" t="n">
        <v>10</v>
      </c>
      <c r="H155" s="13" t="n">
        <v>0</v>
      </c>
    </row>
    <row r="156" customFormat="false" ht="15" hidden="false" customHeight="false" outlineLevel="0" collapsed="false">
      <c r="A156" s="4" t="s">
        <v>102</v>
      </c>
      <c r="B156" s="13" t="n">
        <v>6</v>
      </c>
      <c r="C156" s="13" t="n">
        <v>3</v>
      </c>
      <c r="D156" s="13" t="n">
        <v>3</v>
      </c>
      <c r="E156" s="13" t="n">
        <v>0</v>
      </c>
      <c r="F156" s="13" t="n">
        <v>0</v>
      </c>
      <c r="G156" s="13" t="n">
        <v>10</v>
      </c>
      <c r="H156" s="13" t="n">
        <v>0</v>
      </c>
    </row>
    <row r="157" customFormat="false" ht="15" hidden="false" customHeight="false" outlineLevel="0" collapsed="false">
      <c r="A157" s="4" t="s">
        <v>103</v>
      </c>
      <c r="B157" s="13" t="n">
        <v>7</v>
      </c>
      <c r="C157" s="13" t="n">
        <v>1</v>
      </c>
      <c r="D157" s="13" t="n">
        <v>6</v>
      </c>
      <c r="E157" s="13" t="n">
        <v>0</v>
      </c>
      <c r="F157" s="13" t="n">
        <v>0</v>
      </c>
      <c r="G157" s="13" t="n">
        <v>10</v>
      </c>
      <c r="H157" s="13" t="n">
        <v>2</v>
      </c>
    </row>
    <row r="158" customFormat="false" ht="15" hidden="false" customHeight="false" outlineLevel="0" collapsed="false">
      <c r="A158" s="4" t="s">
        <v>104</v>
      </c>
      <c r="B158" s="13" t="n">
        <v>2</v>
      </c>
      <c r="C158" s="13" t="n">
        <v>1</v>
      </c>
      <c r="D158" s="13" t="n">
        <v>1</v>
      </c>
      <c r="E158" s="13" t="n">
        <v>0</v>
      </c>
      <c r="F158" s="13" t="n">
        <v>0</v>
      </c>
      <c r="G158" s="13" t="n">
        <v>10</v>
      </c>
      <c r="H158" s="13" t="n">
        <v>0</v>
      </c>
    </row>
    <row r="159" customFormat="false" ht="15" hidden="false" customHeight="false" outlineLevel="0" collapsed="false">
      <c r="A159" s="4" t="s">
        <v>105</v>
      </c>
      <c r="B159" s="13" t="n">
        <v>0</v>
      </c>
      <c r="C159" s="13" t="n">
        <v>0</v>
      </c>
      <c r="D159" s="13" t="n">
        <v>0</v>
      </c>
      <c r="E159" s="13" t="n">
        <v>0</v>
      </c>
      <c r="F159" s="13" t="n">
        <v>0</v>
      </c>
      <c r="G159" s="13" t="n">
        <v>10</v>
      </c>
      <c r="H159" s="13" t="n">
        <v>0</v>
      </c>
    </row>
    <row r="160" customFormat="false" ht="15" hidden="false" customHeight="false" outlineLevel="0" collapsed="false">
      <c r="A160" s="4" t="s">
        <v>106</v>
      </c>
      <c r="B160" s="13" t="n">
        <v>2</v>
      </c>
      <c r="C160" s="13" t="n">
        <v>1</v>
      </c>
      <c r="D160" s="13" t="n">
        <v>1</v>
      </c>
      <c r="E160" s="13" t="n">
        <v>0</v>
      </c>
      <c r="F160" s="13" t="n">
        <v>0</v>
      </c>
      <c r="G160" s="13" t="n">
        <v>10</v>
      </c>
      <c r="H160" s="13" t="n">
        <v>0</v>
      </c>
    </row>
    <row r="161" customFormat="false" ht="15" hidden="false" customHeight="false" outlineLevel="0" collapsed="false">
      <c r="A161" s="4" t="s">
        <v>107</v>
      </c>
      <c r="B161" s="13" t="n">
        <v>0</v>
      </c>
      <c r="C161" s="13" t="n">
        <v>0</v>
      </c>
      <c r="D161" s="13" t="n">
        <v>0</v>
      </c>
      <c r="E161" s="13" t="n">
        <v>0</v>
      </c>
      <c r="F161" s="13" t="n">
        <v>0</v>
      </c>
      <c r="G161" s="13" t="n">
        <v>10</v>
      </c>
      <c r="H161" s="13" t="n">
        <v>0</v>
      </c>
    </row>
    <row r="162" customFormat="false" ht="15" hidden="false" customHeight="false" outlineLevel="0" collapsed="false">
      <c r="A162" s="4" t="s">
        <v>108</v>
      </c>
      <c r="B162" s="13" t="n">
        <v>0</v>
      </c>
      <c r="C162" s="13" t="n">
        <v>0</v>
      </c>
      <c r="D162" s="13" t="n">
        <v>0</v>
      </c>
      <c r="E162" s="13" t="n">
        <v>0</v>
      </c>
      <c r="F162" s="13" t="n">
        <v>0</v>
      </c>
      <c r="G162" s="13" t="n">
        <v>10</v>
      </c>
      <c r="H162" s="13" t="n">
        <v>0</v>
      </c>
    </row>
    <row r="163" customFormat="false" ht="15" hidden="false" customHeight="false" outlineLevel="0" collapsed="false">
      <c r="A163" s="4" t="s">
        <v>109</v>
      </c>
      <c r="B163" s="13" t="n">
        <v>7</v>
      </c>
      <c r="C163" s="13" t="n">
        <v>6</v>
      </c>
      <c r="D163" s="13" t="n">
        <v>1</v>
      </c>
      <c r="E163" s="13" t="n">
        <v>0</v>
      </c>
      <c r="F163" s="13" t="n">
        <v>0</v>
      </c>
      <c r="G163" s="13" t="n">
        <v>10</v>
      </c>
      <c r="H163" s="13" t="n">
        <v>0</v>
      </c>
    </row>
    <row r="164" customFormat="false" ht="15" hidden="false" customHeight="false" outlineLevel="0" collapsed="false">
      <c r="A164" s="4" t="s">
        <v>110</v>
      </c>
      <c r="B164" s="13" t="n">
        <v>1</v>
      </c>
      <c r="C164" s="13" t="n">
        <v>1</v>
      </c>
      <c r="D164" s="13" t="n">
        <v>0</v>
      </c>
      <c r="E164" s="13" t="n">
        <v>0</v>
      </c>
      <c r="F164" s="13" t="n">
        <v>0</v>
      </c>
      <c r="G164" s="13" t="n">
        <v>10</v>
      </c>
      <c r="H164" s="13" t="n">
        <v>0</v>
      </c>
    </row>
    <row r="165" customFormat="false" ht="15" hidden="false" customHeight="false" outlineLevel="0" collapsed="false">
      <c r="A165" s="4" t="s">
        <v>111</v>
      </c>
      <c r="B165" s="13" t="n">
        <v>0</v>
      </c>
      <c r="C165" s="13" t="n">
        <v>0</v>
      </c>
      <c r="D165" s="13" t="n">
        <v>0</v>
      </c>
      <c r="E165" s="13" t="n">
        <v>0</v>
      </c>
      <c r="F165" s="13" t="n">
        <v>0</v>
      </c>
      <c r="G165" s="13" t="n">
        <v>10</v>
      </c>
      <c r="H165" s="13" t="n">
        <v>0</v>
      </c>
    </row>
    <row r="166" customFormat="false" ht="15" hidden="false" customHeight="false" outlineLevel="0" collapsed="false">
      <c r="A166" s="4" t="s">
        <v>112</v>
      </c>
      <c r="B166" s="13" t="n">
        <v>21</v>
      </c>
      <c r="C166" s="13" t="n">
        <v>21</v>
      </c>
      <c r="D166" s="13" t="n">
        <v>0</v>
      </c>
      <c r="E166" s="13" t="n">
        <v>1</v>
      </c>
      <c r="F166" s="13" t="n">
        <v>0</v>
      </c>
      <c r="G166" s="13" t="n">
        <v>10</v>
      </c>
      <c r="H166" s="13" t="n">
        <v>3</v>
      </c>
    </row>
    <row r="167" customFormat="false" ht="15" hidden="false" customHeight="false" outlineLevel="0" collapsed="false">
      <c r="A167" s="4" t="s">
        <v>113</v>
      </c>
      <c r="B167" s="13" t="n">
        <v>3</v>
      </c>
      <c r="C167" s="13" t="n">
        <v>3</v>
      </c>
      <c r="D167" s="13" t="n">
        <v>0</v>
      </c>
      <c r="E167" s="13" t="n">
        <v>0</v>
      </c>
      <c r="F167" s="13" t="n">
        <v>0</v>
      </c>
      <c r="G167" s="13" t="n">
        <v>10</v>
      </c>
      <c r="H167" s="13" t="n">
        <v>0</v>
      </c>
    </row>
    <row r="168" customFormat="false" ht="15" hidden="false" customHeight="false" outlineLevel="0" collapsed="false">
      <c r="A168" s="4" t="s">
        <v>114</v>
      </c>
      <c r="B168" s="13" t="n">
        <v>2</v>
      </c>
      <c r="C168" s="13" t="n">
        <v>2</v>
      </c>
      <c r="D168" s="13" t="n">
        <v>0</v>
      </c>
      <c r="E168" s="13" t="n">
        <v>0</v>
      </c>
      <c r="F168" s="13" t="n">
        <v>0</v>
      </c>
      <c r="G168" s="13" t="n">
        <v>10</v>
      </c>
      <c r="H168" s="13" t="n">
        <v>0</v>
      </c>
    </row>
    <row r="169" customFormat="false" ht="15" hidden="false" customHeight="false" outlineLevel="0" collapsed="false">
      <c r="A169" s="4" t="s">
        <v>115</v>
      </c>
      <c r="B169" s="13" t="n">
        <v>2</v>
      </c>
      <c r="C169" s="13" t="n">
        <v>2</v>
      </c>
      <c r="D169" s="13" t="n">
        <v>0</v>
      </c>
      <c r="E169" s="13" t="n">
        <v>0</v>
      </c>
      <c r="F169" s="13" t="n">
        <v>1</v>
      </c>
      <c r="G169" s="13" t="n">
        <v>11</v>
      </c>
      <c r="H169" s="13" t="n">
        <v>0</v>
      </c>
    </row>
    <row r="170" customFormat="false" ht="15" hidden="false" customHeight="false" outlineLevel="0" collapsed="false">
      <c r="A170" s="4" t="s">
        <v>116</v>
      </c>
      <c r="B170" s="13" t="n">
        <v>0</v>
      </c>
      <c r="C170" s="13" t="n">
        <v>0</v>
      </c>
      <c r="D170" s="13" t="n">
        <v>0</v>
      </c>
      <c r="E170" s="13" t="n">
        <v>0</v>
      </c>
      <c r="F170" s="13" t="n">
        <v>0</v>
      </c>
      <c r="G170" s="13" t="n">
        <v>11</v>
      </c>
      <c r="H170" s="13" t="n">
        <v>0</v>
      </c>
    </row>
    <row r="171" customFormat="false" ht="15" hidden="false" customHeight="false" outlineLevel="0" collapsed="false">
      <c r="A171" s="4" t="s">
        <v>117</v>
      </c>
      <c r="B171" s="13" t="n">
        <v>1</v>
      </c>
      <c r="C171" s="13" t="n">
        <v>1</v>
      </c>
      <c r="D171" s="13" t="n">
        <v>0</v>
      </c>
      <c r="E171" s="13" t="n">
        <v>0</v>
      </c>
      <c r="F171" s="13" t="n">
        <v>0</v>
      </c>
      <c r="G171" s="13" t="n">
        <v>11</v>
      </c>
      <c r="H171" s="13" t="n">
        <v>0</v>
      </c>
    </row>
    <row r="172" customFormat="false" ht="15" hidden="false" customHeight="false" outlineLevel="0" collapsed="false">
      <c r="A172" s="4" t="s">
        <v>118</v>
      </c>
      <c r="B172" s="13" t="n">
        <v>4</v>
      </c>
      <c r="C172" s="13" t="n">
        <v>4</v>
      </c>
      <c r="D172" s="13" t="n">
        <v>0</v>
      </c>
      <c r="E172" s="13" t="n">
        <v>0</v>
      </c>
      <c r="F172" s="13" t="n">
        <v>0</v>
      </c>
      <c r="G172" s="13" t="n">
        <v>11</v>
      </c>
      <c r="H172" s="13" t="n">
        <v>0</v>
      </c>
    </row>
    <row r="173" customFormat="false" ht="15" hidden="false" customHeight="false" outlineLevel="0" collapsed="false">
      <c r="A173" s="4" t="s">
        <v>119</v>
      </c>
      <c r="B173" s="13" t="n">
        <v>3</v>
      </c>
      <c r="C173" s="13" t="n">
        <v>3</v>
      </c>
      <c r="D173" s="13" t="n">
        <v>0</v>
      </c>
      <c r="E173" s="13" t="n">
        <v>0</v>
      </c>
      <c r="F173" s="13" t="n">
        <v>0</v>
      </c>
      <c r="G173" s="13" t="n">
        <v>11</v>
      </c>
      <c r="H173" s="13" t="n">
        <v>0</v>
      </c>
    </row>
    <row r="174" customFormat="false" ht="15" hidden="false" customHeight="false" outlineLevel="0" collapsed="false">
      <c r="A174" s="4" t="s">
        <v>120</v>
      </c>
      <c r="B174" s="13" t="n">
        <v>0</v>
      </c>
      <c r="C174" s="13" t="n">
        <v>0</v>
      </c>
      <c r="D174" s="13" t="n">
        <v>0</v>
      </c>
      <c r="E174" s="13" t="n">
        <v>0</v>
      </c>
      <c r="F174" s="13" t="n">
        <v>0</v>
      </c>
      <c r="G174" s="13" t="n">
        <v>11</v>
      </c>
      <c r="H174" s="13" t="n">
        <v>0</v>
      </c>
    </row>
    <row r="175" customFormat="false" ht="15" hidden="false" customHeight="false" outlineLevel="0" collapsed="false">
      <c r="A175" s="4" t="s">
        <v>121</v>
      </c>
      <c r="B175" s="13" t="n">
        <v>0</v>
      </c>
      <c r="C175" s="13" t="n">
        <v>0</v>
      </c>
      <c r="D175" s="13" t="n">
        <v>0</v>
      </c>
      <c r="E175" s="13" t="n">
        <v>0</v>
      </c>
      <c r="F175" s="13" t="n">
        <v>0</v>
      </c>
      <c r="G175" s="13" t="n">
        <v>11</v>
      </c>
      <c r="H175" s="13" t="n">
        <v>0</v>
      </c>
    </row>
    <row r="176" customFormat="false" ht="15" hidden="false" customHeight="false" outlineLevel="0" collapsed="false">
      <c r="A176" s="4" t="s">
        <v>122</v>
      </c>
      <c r="B176" s="13" t="n">
        <v>1</v>
      </c>
      <c r="C176" s="13" t="n">
        <v>1</v>
      </c>
      <c r="D176" s="13" t="n">
        <v>0</v>
      </c>
      <c r="E176" s="13" t="n">
        <v>0</v>
      </c>
      <c r="F176" s="13" t="n">
        <v>0</v>
      </c>
      <c r="G176" s="13" t="n">
        <v>11</v>
      </c>
      <c r="H176" s="13" t="n">
        <v>0</v>
      </c>
    </row>
    <row r="177" customFormat="false" ht="15" hidden="false" customHeight="false" outlineLevel="0" collapsed="false">
      <c r="A177" s="4" t="s">
        <v>123</v>
      </c>
      <c r="B177" s="13" t="n">
        <v>3</v>
      </c>
      <c r="C177" s="13" t="n">
        <v>1</v>
      </c>
      <c r="D177" s="13" t="n">
        <v>2</v>
      </c>
      <c r="E177" s="13" t="n">
        <v>0</v>
      </c>
      <c r="F177" s="13" t="n">
        <v>0</v>
      </c>
      <c r="G177" s="13" t="n">
        <v>11</v>
      </c>
      <c r="H177" s="13" t="n">
        <v>0</v>
      </c>
    </row>
    <row r="178" customFormat="false" ht="15" hidden="false" customHeight="false" outlineLevel="0" collapsed="false">
      <c r="A178" s="4" t="s">
        <v>124</v>
      </c>
      <c r="B178" s="13" t="n">
        <v>3</v>
      </c>
      <c r="C178" s="13" t="n">
        <v>0</v>
      </c>
      <c r="D178" s="13" t="n">
        <v>3</v>
      </c>
      <c r="E178" s="13" t="n">
        <v>0</v>
      </c>
      <c r="F178" s="13" t="n">
        <v>0</v>
      </c>
      <c r="G178" s="13" t="n">
        <v>11</v>
      </c>
      <c r="H178" s="13" t="n">
        <v>0</v>
      </c>
    </row>
    <row r="179" customFormat="false" ht="15" hidden="false" customHeight="false" outlineLevel="0" collapsed="false">
      <c r="A179" s="4" t="s">
        <v>125</v>
      </c>
      <c r="B179" s="13" t="n">
        <v>2</v>
      </c>
      <c r="C179" s="13" t="n">
        <v>0</v>
      </c>
      <c r="D179" s="13" t="n">
        <v>2</v>
      </c>
      <c r="E179" s="13" t="n">
        <v>0</v>
      </c>
      <c r="F179" s="13" t="n">
        <v>0</v>
      </c>
      <c r="G179" s="13" t="n">
        <v>11</v>
      </c>
      <c r="H179" s="13" t="n">
        <v>0</v>
      </c>
    </row>
    <row r="180" customFormat="false" ht="15" hidden="false" customHeight="false" outlineLevel="0" collapsed="false">
      <c r="A180" s="4" t="s">
        <v>126</v>
      </c>
      <c r="B180" s="13" t="n">
        <v>264</v>
      </c>
      <c r="C180" s="13" t="n">
        <v>263</v>
      </c>
      <c r="D180" s="13" t="n">
        <v>1</v>
      </c>
      <c r="E180" s="13" t="n">
        <v>0</v>
      </c>
      <c r="F180" s="13" t="n">
        <v>0</v>
      </c>
      <c r="G180" s="13" t="n">
        <v>11</v>
      </c>
      <c r="H180" s="13" t="n">
        <v>0</v>
      </c>
    </row>
    <row r="181" customFormat="false" ht="15" hidden="false" customHeight="false" outlineLevel="0" collapsed="false">
      <c r="A181" s="4" t="s">
        <v>127</v>
      </c>
      <c r="B181" s="13" t="n">
        <v>23</v>
      </c>
      <c r="C181" s="13" t="n">
        <v>22</v>
      </c>
      <c r="D181" s="13" t="n">
        <v>1</v>
      </c>
      <c r="E181" s="13" t="n">
        <v>1</v>
      </c>
      <c r="F181" s="13" t="n">
        <v>0</v>
      </c>
      <c r="G181" s="13" t="n">
        <v>11</v>
      </c>
      <c r="H181" s="13" t="n">
        <v>3</v>
      </c>
    </row>
    <row r="182" customFormat="false" ht="15" hidden="false" customHeight="false" outlineLevel="0" collapsed="false">
      <c r="A182" s="4" t="s">
        <v>128</v>
      </c>
      <c r="B182" s="13" t="n">
        <v>2</v>
      </c>
      <c r="C182" s="13" t="n">
        <v>2</v>
      </c>
      <c r="D182" s="13" t="n">
        <v>0</v>
      </c>
      <c r="E182" s="13" t="n">
        <v>0</v>
      </c>
      <c r="F182" s="13" t="n">
        <v>0</v>
      </c>
      <c r="G182" s="13" t="n">
        <v>11</v>
      </c>
      <c r="H182" s="13" t="n">
        <v>0</v>
      </c>
    </row>
    <row r="183" customFormat="false" ht="15" hidden="false" customHeight="false" outlineLevel="0" collapsed="false">
      <c r="A183" s="4" t="s">
        <v>129</v>
      </c>
      <c r="B183" s="13" t="n">
        <v>0</v>
      </c>
      <c r="C183" s="13" t="n">
        <v>0</v>
      </c>
      <c r="D183" s="13" t="n">
        <v>0</v>
      </c>
      <c r="E183" s="13" t="n">
        <v>0</v>
      </c>
      <c r="F183" s="13" t="n">
        <v>0</v>
      </c>
      <c r="G183" s="13" t="n">
        <v>11</v>
      </c>
      <c r="H183" s="13" t="n">
        <v>0</v>
      </c>
    </row>
    <row r="184" customFormat="false" ht="15" hidden="false" customHeight="false" outlineLevel="0" collapsed="false">
      <c r="A184" s="4" t="s">
        <v>344</v>
      </c>
      <c r="B184" s="13" t="n">
        <v>0</v>
      </c>
      <c r="C184" s="13" t="n">
        <v>0</v>
      </c>
      <c r="D184" s="13" t="n">
        <v>0</v>
      </c>
      <c r="E184" s="13" t="n">
        <v>0</v>
      </c>
      <c r="F184" s="13" t="n">
        <v>0</v>
      </c>
      <c r="G184" s="13" t="n">
        <v>11</v>
      </c>
      <c r="H184" s="13" t="n">
        <v>0</v>
      </c>
    </row>
    <row r="185" customFormat="false" ht="15" hidden="false" customHeight="false" outlineLevel="0" collapsed="false">
      <c r="A185" s="4" t="s">
        <v>345</v>
      </c>
      <c r="B185" s="13" t="n">
        <v>0</v>
      </c>
      <c r="C185" s="13" t="n">
        <v>0</v>
      </c>
      <c r="D185" s="13" t="n">
        <v>0</v>
      </c>
      <c r="E185" s="13" t="n">
        <v>0</v>
      </c>
      <c r="F185" s="13" t="n">
        <v>0</v>
      </c>
      <c r="G185" s="13" t="n">
        <v>11</v>
      </c>
      <c r="H185" s="13" t="n">
        <v>1</v>
      </c>
    </row>
    <row r="186" customFormat="false" ht="15" hidden="false" customHeight="false" outlineLevel="0" collapsed="false">
      <c r="A186" s="4" t="s">
        <v>346</v>
      </c>
      <c r="B186" s="13" t="n">
        <v>1</v>
      </c>
      <c r="C186" s="13" t="n">
        <v>1</v>
      </c>
      <c r="D186" s="13" t="n">
        <v>0</v>
      </c>
      <c r="E186" s="13" t="n">
        <v>0</v>
      </c>
      <c r="F186" s="13" t="n">
        <v>0</v>
      </c>
      <c r="G186" s="13" t="n">
        <v>11</v>
      </c>
      <c r="H186" s="13" t="n">
        <v>0</v>
      </c>
    </row>
    <row r="187" customFormat="false" ht="15" hidden="false" customHeight="false" outlineLevel="0" collapsed="false">
      <c r="A187" s="4" t="s">
        <v>347</v>
      </c>
      <c r="B187" s="13" t="n">
        <v>0</v>
      </c>
      <c r="C187" s="13" t="n">
        <v>0</v>
      </c>
      <c r="D187" s="13" t="n">
        <v>0</v>
      </c>
      <c r="E187" s="13" t="n">
        <v>0</v>
      </c>
      <c r="F187" s="13" t="n">
        <v>0</v>
      </c>
      <c r="G187" s="13" t="n">
        <v>11</v>
      </c>
      <c r="H187" s="13" t="n">
        <v>0</v>
      </c>
    </row>
    <row r="188" customFormat="false" ht="15" hidden="false" customHeight="false" outlineLevel="0" collapsed="false">
      <c r="A188" s="4" t="s">
        <v>348</v>
      </c>
      <c r="B188" s="13" t="n">
        <v>11</v>
      </c>
      <c r="C188" s="13" t="n">
        <v>11</v>
      </c>
      <c r="D188" s="13" t="n">
        <v>0</v>
      </c>
      <c r="E188" s="13" t="n">
        <v>1</v>
      </c>
      <c r="F188" s="13" t="n">
        <v>0</v>
      </c>
      <c r="G188" s="13" t="n">
        <v>11</v>
      </c>
      <c r="H188" s="13" t="n">
        <v>0</v>
      </c>
    </row>
    <row r="189" customFormat="false" ht="15" hidden="false" customHeight="false" outlineLevel="0" collapsed="false">
      <c r="A189" s="4" t="s">
        <v>349</v>
      </c>
      <c r="B189" s="13" t="n">
        <v>0</v>
      </c>
      <c r="C189" s="13" t="n">
        <v>0</v>
      </c>
      <c r="D189" s="13" t="n">
        <v>0</v>
      </c>
      <c r="E189" s="13" t="n">
        <v>0</v>
      </c>
      <c r="F189" s="13" t="n">
        <v>0</v>
      </c>
      <c r="G189" s="13" t="n">
        <v>11</v>
      </c>
      <c r="H189" s="13" t="n">
        <v>0</v>
      </c>
    </row>
    <row r="190" customFormat="false" ht="15" hidden="false" customHeight="false" outlineLevel="0" collapsed="false">
      <c r="A190" s="4" t="s">
        <v>350</v>
      </c>
      <c r="B190" s="13" t="n">
        <v>0</v>
      </c>
      <c r="C190" s="13" t="n">
        <v>0</v>
      </c>
      <c r="D190" s="13" t="n">
        <v>0</v>
      </c>
      <c r="E190" s="13" t="n">
        <v>0</v>
      </c>
      <c r="F190" s="13" t="n">
        <v>0</v>
      </c>
      <c r="G190" s="13" t="n">
        <v>11</v>
      </c>
      <c r="H190" s="13" t="n">
        <v>0</v>
      </c>
    </row>
    <row r="191" customFormat="false" ht="15" hidden="false" customHeight="false" outlineLevel="0" collapsed="false">
      <c r="A191" s="4" t="s">
        <v>130</v>
      </c>
      <c r="B191" s="13" t="n">
        <v>95</v>
      </c>
      <c r="C191" s="13" t="n">
        <v>12</v>
      </c>
      <c r="D191" s="13" t="n">
        <v>83</v>
      </c>
      <c r="E191" s="13" t="n">
        <v>4</v>
      </c>
      <c r="F191" s="13" t="n">
        <v>0</v>
      </c>
      <c r="G191" s="13" t="n">
        <v>11</v>
      </c>
      <c r="H191" s="13" t="n">
        <v>0</v>
      </c>
    </row>
    <row r="192" customFormat="false" ht="15" hidden="false" customHeight="false" outlineLevel="0" collapsed="false">
      <c r="A192" s="4" t="s">
        <v>131</v>
      </c>
      <c r="B192" s="13" t="n">
        <v>5</v>
      </c>
      <c r="C192" s="13" t="n">
        <v>0</v>
      </c>
      <c r="D192" s="13" t="n">
        <v>5</v>
      </c>
      <c r="E192" s="13" t="n">
        <v>0</v>
      </c>
      <c r="F192" s="13" t="n">
        <v>0</v>
      </c>
      <c r="G192" s="13" t="n">
        <v>11</v>
      </c>
      <c r="H192" s="13" t="n">
        <v>0</v>
      </c>
    </row>
    <row r="193" customFormat="false" ht="15" hidden="false" customHeight="false" outlineLevel="0" collapsed="false">
      <c r="A193" s="4" t="s">
        <v>132</v>
      </c>
      <c r="B193" s="13" t="n">
        <v>11</v>
      </c>
      <c r="C193" s="13" t="n">
        <v>11</v>
      </c>
      <c r="D193" s="13" t="n">
        <v>0</v>
      </c>
      <c r="E193" s="13" t="n">
        <v>0</v>
      </c>
      <c r="F193" s="13" t="n">
        <v>0</v>
      </c>
      <c r="G193" s="13" t="n">
        <v>11</v>
      </c>
      <c r="H193" s="13" t="n">
        <v>5</v>
      </c>
    </row>
    <row r="194" customFormat="false" ht="15" hidden="false" customHeight="false" outlineLevel="0" collapsed="false">
      <c r="A194" s="4" t="s">
        <v>133</v>
      </c>
      <c r="B194" s="13" t="n">
        <v>0</v>
      </c>
      <c r="C194" s="13" t="n">
        <v>0</v>
      </c>
      <c r="D194" s="13" t="n">
        <v>0</v>
      </c>
      <c r="E194" s="13" t="n">
        <v>0</v>
      </c>
      <c r="F194" s="13" t="n">
        <v>0</v>
      </c>
      <c r="G194" s="13" t="n">
        <v>11</v>
      </c>
      <c r="H194" s="13" t="n">
        <v>0</v>
      </c>
    </row>
    <row r="195" customFormat="false" ht="15" hidden="false" customHeight="false" outlineLevel="0" collapsed="false">
      <c r="A195" s="4" t="s">
        <v>134</v>
      </c>
      <c r="B195" s="13" t="n">
        <v>0</v>
      </c>
      <c r="C195" s="13" t="n">
        <v>0</v>
      </c>
      <c r="D195" s="13" t="n">
        <v>0</v>
      </c>
      <c r="E195" s="13" t="n">
        <v>0</v>
      </c>
      <c r="F195" s="13" t="n">
        <v>0</v>
      </c>
      <c r="G195" s="13" t="n">
        <v>11</v>
      </c>
      <c r="H195" s="13" t="n">
        <v>0</v>
      </c>
    </row>
    <row r="196" customFormat="false" ht="15" hidden="false" customHeight="false" outlineLevel="0" collapsed="false">
      <c r="A196" s="4" t="s">
        <v>135</v>
      </c>
      <c r="B196" s="13" t="n">
        <v>0</v>
      </c>
      <c r="C196" s="13" t="n">
        <v>0</v>
      </c>
      <c r="D196" s="13" t="n">
        <v>0</v>
      </c>
      <c r="E196" s="13" t="n">
        <v>0</v>
      </c>
      <c r="F196" s="13" t="n">
        <v>0</v>
      </c>
      <c r="G196" s="13" t="n">
        <v>11</v>
      </c>
      <c r="H196" s="13" t="n">
        <v>0</v>
      </c>
    </row>
    <row r="197" customFormat="false" ht="15" hidden="false" customHeight="false" outlineLevel="0" collapsed="false">
      <c r="A197" s="4" t="s">
        <v>136</v>
      </c>
      <c r="B197" s="13" t="n">
        <v>0</v>
      </c>
      <c r="C197" s="13" t="n">
        <v>0</v>
      </c>
      <c r="D197" s="13" t="n">
        <v>0</v>
      </c>
      <c r="E197" s="13" t="n">
        <v>0</v>
      </c>
      <c r="F197" s="13" t="n">
        <v>0</v>
      </c>
      <c r="G197" s="13" t="n">
        <v>11</v>
      </c>
      <c r="H197" s="13" t="n">
        <v>0</v>
      </c>
    </row>
    <row r="198" customFormat="false" ht="15" hidden="false" customHeight="false" outlineLevel="0" collapsed="false">
      <c r="A198" s="4" t="s">
        <v>137</v>
      </c>
      <c r="B198" s="13" t="n">
        <v>0</v>
      </c>
      <c r="C198" s="13" t="n">
        <v>0</v>
      </c>
      <c r="D198" s="13" t="n">
        <v>0</v>
      </c>
      <c r="E198" s="13" t="n">
        <v>0</v>
      </c>
      <c r="F198" s="13" t="n">
        <v>0</v>
      </c>
      <c r="G198" s="13" t="n">
        <v>11</v>
      </c>
      <c r="H198" s="13" t="n">
        <v>0</v>
      </c>
    </row>
    <row r="199" customFormat="false" ht="15" hidden="false" customHeight="false" outlineLevel="0" collapsed="false">
      <c r="A199" s="4" t="s">
        <v>138</v>
      </c>
      <c r="B199" s="13" t="n">
        <v>2</v>
      </c>
      <c r="C199" s="13" t="n">
        <v>2</v>
      </c>
      <c r="D199" s="13" t="n">
        <v>0</v>
      </c>
      <c r="E199" s="13" t="n">
        <v>0</v>
      </c>
      <c r="F199" s="13" t="n">
        <v>0</v>
      </c>
      <c r="G199" s="13" t="n">
        <v>11</v>
      </c>
      <c r="H199" s="13" t="n">
        <v>4</v>
      </c>
    </row>
    <row r="200" customFormat="false" ht="15" hidden="false" customHeight="false" outlineLevel="0" collapsed="false">
      <c r="A200" s="4" t="s">
        <v>139</v>
      </c>
      <c r="B200" s="13" t="n">
        <v>9</v>
      </c>
      <c r="C200" s="13" t="n">
        <v>9</v>
      </c>
      <c r="D200" s="13" t="n">
        <v>0</v>
      </c>
      <c r="E200" s="13" t="n">
        <v>1</v>
      </c>
      <c r="F200" s="13" t="n">
        <v>0</v>
      </c>
      <c r="G200" s="13" t="n">
        <v>11</v>
      </c>
      <c r="H200" s="13" t="n">
        <v>0</v>
      </c>
    </row>
    <row r="201" customFormat="false" ht="15" hidden="false" customHeight="false" outlineLevel="0" collapsed="false">
      <c r="A201" s="4" t="s">
        <v>140</v>
      </c>
      <c r="B201" s="13" t="n">
        <v>7</v>
      </c>
      <c r="C201" s="13" t="n">
        <v>7</v>
      </c>
      <c r="D201" s="13" t="n">
        <v>0</v>
      </c>
      <c r="E201" s="13" t="n">
        <v>2</v>
      </c>
      <c r="F201" s="13" t="n">
        <v>0</v>
      </c>
      <c r="G201" s="13" t="n">
        <v>11</v>
      </c>
      <c r="H201" s="13" t="n">
        <v>4</v>
      </c>
    </row>
    <row r="202" customFormat="false" ht="15" hidden="false" customHeight="false" outlineLevel="0" collapsed="false">
      <c r="A202" s="4" t="s">
        <v>141</v>
      </c>
      <c r="B202" s="13" t="n">
        <v>0</v>
      </c>
      <c r="C202" s="13" t="n">
        <v>0</v>
      </c>
      <c r="D202" s="13" t="n">
        <v>0</v>
      </c>
      <c r="E202" s="13" t="n">
        <v>0</v>
      </c>
      <c r="F202" s="13" t="n">
        <v>0</v>
      </c>
      <c r="G202" s="13" t="n">
        <v>11</v>
      </c>
      <c r="H202" s="13" t="n">
        <v>0</v>
      </c>
    </row>
    <row r="203" customFormat="false" ht="15" hidden="false" customHeight="false" outlineLevel="0" collapsed="false">
      <c r="A203" s="4" t="s">
        <v>142</v>
      </c>
      <c r="B203" s="13" t="n">
        <v>0</v>
      </c>
      <c r="C203" s="13" t="n">
        <v>0</v>
      </c>
      <c r="D203" s="13" t="n">
        <v>0</v>
      </c>
      <c r="E203" s="13" t="n">
        <v>0</v>
      </c>
      <c r="F203" s="13" t="n">
        <v>0</v>
      </c>
      <c r="G203" s="13" t="n">
        <v>11</v>
      </c>
      <c r="H203" s="13" t="n">
        <v>0</v>
      </c>
    </row>
    <row r="204" customFormat="false" ht="15" hidden="false" customHeight="false" outlineLevel="0" collapsed="false">
      <c r="A204" s="4" t="s">
        <v>143</v>
      </c>
      <c r="B204" s="13" t="n">
        <v>0</v>
      </c>
      <c r="C204" s="13" t="n">
        <v>0</v>
      </c>
      <c r="D204" s="13" t="n">
        <v>0</v>
      </c>
      <c r="E204" s="13" t="n">
        <v>0</v>
      </c>
      <c r="F204" s="13" t="n">
        <v>0</v>
      </c>
      <c r="G204" s="13" t="n">
        <v>11</v>
      </c>
      <c r="H204" s="13" t="n">
        <v>0</v>
      </c>
    </row>
    <row r="205" customFormat="false" ht="15" hidden="false" customHeight="false" outlineLevel="0" collapsed="false">
      <c r="A205" s="4" t="s">
        <v>144</v>
      </c>
      <c r="B205" s="13" t="n">
        <v>1</v>
      </c>
      <c r="C205" s="13" t="n">
        <v>1</v>
      </c>
      <c r="D205" s="13" t="n">
        <v>0</v>
      </c>
      <c r="E205" s="13" t="n">
        <v>0</v>
      </c>
      <c r="F205" s="13" t="n">
        <v>0</v>
      </c>
      <c r="G205" s="13" t="n">
        <v>11</v>
      </c>
      <c r="H205" s="13" t="n">
        <v>0</v>
      </c>
    </row>
    <row r="206" customFormat="false" ht="15" hidden="false" customHeight="false" outlineLevel="0" collapsed="false">
      <c r="A206" s="4" t="s">
        <v>145</v>
      </c>
      <c r="B206" s="13" t="n">
        <v>0</v>
      </c>
      <c r="C206" s="13" t="n">
        <v>0</v>
      </c>
      <c r="D206" s="13" t="n">
        <v>0</v>
      </c>
      <c r="E206" s="13" t="n">
        <v>0</v>
      </c>
      <c r="F206" s="13" t="n">
        <v>0</v>
      </c>
      <c r="G206" s="13" t="n">
        <v>11</v>
      </c>
      <c r="H206" s="13" t="n">
        <v>0</v>
      </c>
    </row>
    <row r="207" customFormat="false" ht="15" hidden="false" customHeight="false" outlineLevel="0" collapsed="false">
      <c r="A207" s="4" t="s">
        <v>146</v>
      </c>
      <c r="B207" s="13" t="n">
        <v>216</v>
      </c>
      <c r="C207" s="13" t="n">
        <v>216</v>
      </c>
      <c r="D207" s="13" t="n">
        <v>0</v>
      </c>
      <c r="E207" s="13" t="n">
        <v>0</v>
      </c>
      <c r="F207" s="13" t="n">
        <v>0</v>
      </c>
      <c r="G207" s="13" t="n">
        <v>11</v>
      </c>
      <c r="H207" s="13" t="n">
        <v>0</v>
      </c>
    </row>
    <row r="208" customFormat="false" ht="15" hidden="false" customHeight="false" outlineLevel="0" collapsed="false">
      <c r="A208" s="4" t="s">
        <v>147</v>
      </c>
      <c r="B208" s="13" t="n">
        <v>1</v>
      </c>
      <c r="C208" s="13" t="n">
        <v>1</v>
      </c>
      <c r="D208" s="13" t="n">
        <v>0</v>
      </c>
      <c r="E208" s="13" t="n">
        <v>0</v>
      </c>
      <c r="F208" s="13" t="n">
        <v>0</v>
      </c>
      <c r="G208" s="13" t="n">
        <v>11</v>
      </c>
      <c r="H208" s="13" t="n">
        <v>0</v>
      </c>
    </row>
    <row r="209" customFormat="false" ht="15" hidden="false" customHeight="false" outlineLevel="0" collapsed="false">
      <c r="A209" s="4" t="s">
        <v>148</v>
      </c>
      <c r="B209" s="13" t="n">
        <v>0</v>
      </c>
      <c r="C209" s="13" t="n">
        <v>0</v>
      </c>
      <c r="D209" s="13" t="n">
        <v>0</v>
      </c>
      <c r="E209" s="13" t="n">
        <v>0</v>
      </c>
      <c r="F209" s="13" t="n">
        <v>0</v>
      </c>
      <c r="G209" s="13" t="n">
        <v>11</v>
      </c>
      <c r="H209" s="13" t="n">
        <v>0</v>
      </c>
    </row>
    <row r="210" customFormat="false" ht="15" hidden="false" customHeight="false" outlineLevel="0" collapsed="false">
      <c r="A210" s="4" t="s">
        <v>149</v>
      </c>
      <c r="B210" s="13" t="n">
        <v>0</v>
      </c>
      <c r="C210" s="13" t="n">
        <v>0</v>
      </c>
      <c r="D210" s="13" t="n">
        <v>0</v>
      </c>
      <c r="E210" s="13" t="n">
        <v>0</v>
      </c>
      <c r="F210" s="13" t="n">
        <v>0</v>
      </c>
      <c r="G210" s="13" t="n">
        <v>11</v>
      </c>
      <c r="H210" s="13" t="n">
        <v>0</v>
      </c>
    </row>
    <row r="211" customFormat="false" ht="15" hidden="false" customHeight="false" outlineLevel="0" collapsed="false">
      <c r="A211" s="4" t="s">
        <v>150</v>
      </c>
      <c r="B211" s="13" t="n">
        <v>0</v>
      </c>
      <c r="C211" s="13" t="n">
        <v>0</v>
      </c>
      <c r="D211" s="13" t="n">
        <v>0</v>
      </c>
      <c r="E211" s="13" t="n">
        <v>0</v>
      </c>
      <c r="F211" s="13" t="n">
        <v>0</v>
      </c>
      <c r="G211" s="13" t="n">
        <v>11</v>
      </c>
      <c r="H211" s="13" t="n">
        <v>0</v>
      </c>
    </row>
    <row r="212" customFormat="false" ht="15" hidden="false" customHeight="false" outlineLevel="0" collapsed="false">
      <c r="A212" s="4" t="s">
        <v>151</v>
      </c>
      <c r="B212" s="13" t="n">
        <v>0</v>
      </c>
      <c r="C212" s="13" t="n">
        <v>0</v>
      </c>
      <c r="D212" s="13" t="n">
        <v>0</v>
      </c>
      <c r="E212" s="13" t="n">
        <v>0</v>
      </c>
      <c r="F212" s="13" t="n">
        <v>0</v>
      </c>
      <c r="G212" s="13" t="n">
        <v>11</v>
      </c>
      <c r="H212" s="13" t="n">
        <v>0</v>
      </c>
    </row>
    <row r="213" customFormat="false" ht="15" hidden="false" customHeight="false" outlineLevel="0" collapsed="false">
      <c r="A213" s="4" t="s">
        <v>152</v>
      </c>
      <c r="B213" s="13" t="n">
        <v>0</v>
      </c>
      <c r="C213" s="13" t="n">
        <v>0</v>
      </c>
      <c r="D213" s="13" t="n">
        <v>0</v>
      </c>
      <c r="E213" s="13" t="n">
        <v>0</v>
      </c>
      <c r="F213" s="13" t="n">
        <v>0</v>
      </c>
      <c r="G213" s="13" t="n">
        <v>11</v>
      </c>
      <c r="H213" s="13" t="n">
        <v>0</v>
      </c>
    </row>
    <row r="214" customFormat="false" ht="15" hidden="false" customHeight="false" outlineLevel="0" collapsed="false">
      <c r="A214" s="4" t="s">
        <v>153</v>
      </c>
      <c r="B214" s="13" t="n">
        <v>1</v>
      </c>
      <c r="C214" s="13" t="n">
        <v>1</v>
      </c>
      <c r="D214" s="13" t="n">
        <v>0</v>
      </c>
      <c r="E214" s="13" t="n">
        <v>0</v>
      </c>
      <c r="F214" s="13" t="n">
        <v>0</v>
      </c>
      <c r="G214" s="13" t="n">
        <v>11</v>
      </c>
      <c r="H214" s="13" t="n">
        <v>0</v>
      </c>
    </row>
    <row r="215" customFormat="false" ht="15" hidden="false" customHeight="false" outlineLevel="0" collapsed="false">
      <c r="A215" s="4" t="s">
        <v>154</v>
      </c>
      <c r="B215" s="13" t="n">
        <v>4</v>
      </c>
      <c r="C215" s="13" t="n">
        <v>4</v>
      </c>
      <c r="D215" s="13" t="n">
        <v>0</v>
      </c>
      <c r="E215" s="13" t="n">
        <v>0</v>
      </c>
      <c r="F215" s="13" t="n">
        <v>0</v>
      </c>
      <c r="G215" s="13" t="n">
        <v>11</v>
      </c>
      <c r="H215" s="13" t="n">
        <v>0</v>
      </c>
    </row>
    <row r="216" customFormat="false" ht="15" hidden="false" customHeight="false" outlineLevel="0" collapsed="false">
      <c r="A216" s="4" t="s">
        <v>155</v>
      </c>
      <c r="B216" s="13" t="n">
        <v>0</v>
      </c>
      <c r="C216" s="13" t="n">
        <v>0</v>
      </c>
      <c r="D216" s="13" t="n">
        <v>0</v>
      </c>
      <c r="E216" s="13" t="n">
        <v>0</v>
      </c>
      <c r="F216" s="13" t="n">
        <v>0</v>
      </c>
      <c r="G216" s="13" t="n">
        <v>11</v>
      </c>
      <c r="H216" s="13" t="n">
        <v>0</v>
      </c>
    </row>
    <row r="217" customFormat="false" ht="15" hidden="false" customHeight="false" outlineLevel="0" collapsed="false">
      <c r="A217" s="4" t="s">
        <v>351</v>
      </c>
      <c r="B217" s="13" t="n">
        <v>0</v>
      </c>
      <c r="C217" s="13" t="n">
        <v>0</v>
      </c>
      <c r="D217" s="13" t="n">
        <v>0</v>
      </c>
      <c r="E217" s="13" t="n">
        <v>0</v>
      </c>
      <c r="F217" s="13" t="n">
        <v>0</v>
      </c>
      <c r="G217" s="13" t="n">
        <v>11</v>
      </c>
      <c r="H217" s="13" t="n">
        <v>0</v>
      </c>
    </row>
    <row r="218" customFormat="false" ht="15" hidden="false" customHeight="false" outlineLevel="0" collapsed="false">
      <c r="A218" s="4" t="s">
        <v>352</v>
      </c>
      <c r="B218" s="13" t="n">
        <v>0</v>
      </c>
      <c r="C218" s="13" t="n">
        <v>0</v>
      </c>
      <c r="D218" s="13" t="n">
        <v>0</v>
      </c>
      <c r="E218" s="13" t="n">
        <v>0</v>
      </c>
      <c r="F218" s="13" t="n">
        <v>0</v>
      </c>
      <c r="G218" s="13" t="n">
        <v>11</v>
      </c>
      <c r="H218" s="13" t="n">
        <v>0</v>
      </c>
    </row>
    <row r="219" customFormat="false" ht="15" hidden="false" customHeight="false" outlineLevel="0" collapsed="false">
      <c r="A219" s="4" t="s">
        <v>353</v>
      </c>
      <c r="B219" s="13" t="n">
        <v>0</v>
      </c>
      <c r="C219" s="13" t="n">
        <v>0</v>
      </c>
      <c r="D219" s="13" t="n">
        <v>0</v>
      </c>
      <c r="E219" s="13" t="n">
        <v>0</v>
      </c>
      <c r="F219" s="13" t="n">
        <v>0</v>
      </c>
      <c r="G219" s="13" t="n">
        <v>11</v>
      </c>
      <c r="H219" s="13" t="n">
        <v>0</v>
      </c>
    </row>
    <row r="220" customFormat="false" ht="15" hidden="false" customHeight="false" outlineLevel="0" collapsed="false">
      <c r="A220" s="4" t="s">
        <v>354</v>
      </c>
      <c r="B220" s="13" t="n">
        <v>0</v>
      </c>
      <c r="C220" s="13" t="n">
        <v>0</v>
      </c>
      <c r="D220" s="13" t="n">
        <v>0</v>
      </c>
      <c r="E220" s="13" t="n">
        <v>0</v>
      </c>
      <c r="F220" s="13" t="n">
        <v>0</v>
      </c>
      <c r="G220" s="13" t="n">
        <v>11</v>
      </c>
      <c r="H220" s="13" t="n">
        <v>0</v>
      </c>
    </row>
    <row r="221" customFormat="false" ht="15" hidden="false" customHeight="false" outlineLevel="0" collapsed="false">
      <c r="A221" s="4" t="s">
        <v>355</v>
      </c>
      <c r="B221" s="13" t="n">
        <v>2</v>
      </c>
      <c r="C221" s="13" t="n">
        <v>2</v>
      </c>
      <c r="D221" s="13" t="n">
        <v>0</v>
      </c>
      <c r="E221" s="13" t="n">
        <v>0</v>
      </c>
      <c r="F221" s="13" t="n">
        <v>0</v>
      </c>
      <c r="G221" s="13" t="n">
        <v>11</v>
      </c>
      <c r="H221" s="13" t="n">
        <v>0</v>
      </c>
    </row>
    <row r="222" customFormat="false" ht="15" hidden="false" customHeight="false" outlineLevel="0" collapsed="false">
      <c r="A222" s="4" t="s">
        <v>356</v>
      </c>
      <c r="B222" s="13" t="n">
        <v>1</v>
      </c>
      <c r="C222" s="13" t="n">
        <v>1</v>
      </c>
      <c r="D222" s="13" t="n">
        <v>0</v>
      </c>
      <c r="E222" s="13" t="n">
        <v>0</v>
      </c>
      <c r="F222" s="13" t="n">
        <v>0</v>
      </c>
      <c r="G222" s="13" t="n">
        <v>11</v>
      </c>
      <c r="H222" s="13" t="n">
        <v>0</v>
      </c>
    </row>
    <row r="223" customFormat="false" ht="15" hidden="false" customHeight="false" outlineLevel="0" collapsed="false">
      <c r="A223" s="4" t="s">
        <v>357</v>
      </c>
      <c r="B223" s="13" t="n">
        <v>0</v>
      </c>
      <c r="C223" s="13" t="n">
        <v>0</v>
      </c>
      <c r="D223" s="13" t="n">
        <v>0</v>
      </c>
      <c r="E223" s="13" t="n">
        <v>0</v>
      </c>
      <c r="F223" s="13" t="n">
        <v>0</v>
      </c>
      <c r="G223" s="13" t="n">
        <v>11</v>
      </c>
      <c r="H223" s="13" t="n">
        <v>0</v>
      </c>
    </row>
    <row r="224" customFormat="false" ht="15" hidden="false" customHeight="false" outlineLevel="0" collapsed="false">
      <c r="A224" s="4" t="s">
        <v>358</v>
      </c>
      <c r="B224" s="13" t="n">
        <v>0</v>
      </c>
      <c r="C224" s="13" t="n">
        <v>0</v>
      </c>
      <c r="D224" s="13" t="n">
        <v>0</v>
      </c>
      <c r="E224" s="13" t="n">
        <v>0</v>
      </c>
      <c r="F224" s="13" t="n">
        <v>0</v>
      </c>
      <c r="G224" s="13" t="n">
        <v>11</v>
      </c>
      <c r="H224" s="13" t="n">
        <v>0</v>
      </c>
    </row>
    <row r="225" customFormat="false" ht="15" hidden="false" customHeight="false" outlineLevel="0" collapsed="false">
      <c r="A225" s="4" t="s">
        <v>359</v>
      </c>
      <c r="B225" s="13" t="n">
        <v>0</v>
      </c>
      <c r="C225" s="13" t="n">
        <v>0</v>
      </c>
      <c r="D225" s="13" t="n">
        <v>0</v>
      </c>
      <c r="E225" s="13" t="n">
        <v>0</v>
      </c>
      <c r="F225" s="13" t="n">
        <v>0</v>
      </c>
      <c r="G225" s="13" t="n">
        <v>11</v>
      </c>
      <c r="H225" s="13" t="n">
        <v>0</v>
      </c>
    </row>
    <row r="226" customFormat="false" ht="15" hidden="false" customHeight="false" outlineLevel="0" collapsed="false">
      <c r="A226" s="4" t="s">
        <v>360</v>
      </c>
      <c r="B226" s="13" t="n">
        <v>5</v>
      </c>
      <c r="C226" s="13" t="n">
        <v>5</v>
      </c>
      <c r="D226" s="13" t="n">
        <v>0</v>
      </c>
      <c r="E226" s="13" t="n">
        <v>0</v>
      </c>
      <c r="F226" s="13" t="n">
        <v>0</v>
      </c>
      <c r="G226" s="13" t="n">
        <v>11</v>
      </c>
      <c r="H226" s="13" t="n">
        <v>0</v>
      </c>
    </row>
    <row r="227" customFormat="false" ht="15" hidden="false" customHeight="false" outlineLevel="0" collapsed="false">
      <c r="A227" s="4" t="s">
        <v>361</v>
      </c>
      <c r="B227" s="13" t="n">
        <v>0</v>
      </c>
      <c r="C227" s="13" t="n">
        <v>0</v>
      </c>
      <c r="D227" s="13" t="n">
        <v>0</v>
      </c>
      <c r="E227" s="13" t="n">
        <v>0</v>
      </c>
      <c r="F227" s="13" t="n">
        <v>0</v>
      </c>
      <c r="G227" s="13" t="n">
        <v>11</v>
      </c>
      <c r="H227" s="13" t="n">
        <v>0</v>
      </c>
    </row>
    <row r="228" customFormat="false" ht="15" hidden="false" customHeight="false" outlineLevel="0" collapsed="false">
      <c r="A228" s="4" t="s">
        <v>362</v>
      </c>
      <c r="B228" s="13" t="n">
        <v>2</v>
      </c>
      <c r="C228" s="13" t="n">
        <v>2</v>
      </c>
      <c r="D228" s="13" t="n">
        <v>0</v>
      </c>
      <c r="E228" s="13" t="n">
        <v>0</v>
      </c>
      <c r="F228" s="13" t="n">
        <v>0</v>
      </c>
      <c r="G228" s="13" t="n">
        <v>11</v>
      </c>
      <c r="H228" s="13" t="n">
        <v>0</v>
      </c>
    </row>
    <row r="229" customFormat="false" ht="15" hidden="false" customHeight="false" outlineLevel="0" collapsed="false">
      <c r="A229" s="4" t="s">
        <v>363</v>
      </c>
      <c r="B229" s="13" t="n">
        <v>0</v>
      </c>
      <c r="C229" s="13" t="n">
        <v>0</v>
      </c>
      <c r="D229" s="13" t="n">
        <v>0</v>
      </c>
      <c r="E229" s="13" t="n">
        <v>0</v>
      </c>
      <c r="F229" s="13" t="n">
        <v>0</v>
      </c>
      <c r="G229" s="13" t="n">
        <v>11</v>
      </c>
      <c r="H229" s="13" t="n">
        <v>0</v>
      </c>
    </row>
    <row r="230" customFormat="false" ht="15" hidden="false" customHeight="false" outlineLevel="0" collapsed="false">
      <c r="A230" s="4" t="s">
        <v>364</v>
      </c>
      <c r="B230" s="13" t="n">
        <v>0</v>
      </c>
      <c r="C230" s="13" t="n">
        <v>0</v>
      </c>
      <c r="D230" s="13" t="n">
        <v>0</v>
      </c>
      <c r="E230" s="13" t="n">
        <v>0</v>
      </c>
      <c r="F230" s="13" t="n">
        <v>0</v>
      </c>
      <c r="G230" s="13" t="n">
        <v>11</v>
      </c>
      <c r="H230" s="13" t="n">
        <v>0</v>
      </c>
    </row>
    <row r="231" customFormat="false" ht="15" hidden="false" customHeight="false" outlineLevel="0" collapsed="false">
      <c r="A231" s="4" t="s">
        <v>365</v>
      </c>
      <c r="B231" s="13" t="n">
        <v>2</v>
      </c>
      <c r="C231" s="13" t="n">
        <v>2</v>
      </c>
      <c r="D231" s="13" t="n">
        <v>0</v>
      </c>
      <c r="E231" s="13" t="n">
        <v>0</v>
      </c>
      <c r="F231" s="13" t="n">
        <v>0</v>
      </c>
      <c r="G231" s="13" t="n">
        <v>11</v>
      </c>
      <c r="H231" s="13" t="n">
        <v>0</v>
      </c>
    </row>
    <row r="232" customFormat="false" ht="15" hidden="false" customHeight="false" outlineLevel="0" collapsed="false">
      <c r="A232" s="4" t="s">
        <v>366</v>
      </c>
      <c r="B232" s="13" t="n">
        <v>0</v>
      </c>
      <c r="C232" s="13" t="n">
        <v>0</v>
      </c>
      <c r="D232" s="13" t="n">
        <v>0</v>
      </c>
      <c r="E232" s="13" t="n">
        <v>0</v>
      </c>
      <c r="F232" s="13" t="n">
        <v>0</v>
      </c>
      <c r="G232" s="13" t="n">
        <v>11</v>
      </c>
      <c r="H232" s="13" t="n">
        <v>0</v>
      </c>
    </row>
    <row r="233" customFormat="false" ht="15" hidden="false" customHeight="false" outlineLevel="0" collapsed="false">
      <c r="A233" s="4" t="s">
        <v>367</v>
      </c>
      <c r="B233" s="13" t="n">
        <v>0</v>
      </c>
      <c r="C233" s="13" t="n">
        <v>0</v>
      </c>
      <c r="D233" s="13" t="n">
        <v>0</v>
      </c>
      <c r="E233" s="13" t="n">
        <v>0</v>
      </c>
      <c r="F233" s="13" t="n">
        <v>0</v>
      </c>
      <c r="G233" s="13" t="n">
        <v>11</v>
      </c>
      <c r="H233" s="13" t="n">
        <v>0</v>
      </c>
    </row>
    <row r="234" customFormat="false" ht="15" hidden="false" customHeight="false" outlineLevel="0" collapsed="false">
      <c r="A234" s="4" t="s">
        <v>368</v>
      </c>
      <c r="B234" s="13" t="n">
        <v>0</v>
      </c>
      <c r="C234" s="13" t="n">
        <v>0</v>
      </c>
      <c r="D234" s="13" t="n">
        <v>0</v>
      </c>
      <c r="E234" s="13" t="n">
        <v>0</v>
      </c>
      <c r="F234" s="13" t="n">
        <v>0</v>
      </c>
      <c r="G234" s="13" t="n">
        <v>11</v>
      </c>
      <c r="H234" s="13" t="n">
        <v>0</v>
      </c>
    </row>
    <row r="235" customFormat="false" ht="15" hidden="false" customHeight="false" outlineLevel="0" collapsed="false">
      <c r="A235" s="4" t="s">
        <v>369</v>
      </c>
      <c r="B235" s="13" t="n">
        <v>2</v>
      </c>
      <c r="C235" s="13" t="n">
        <v>2</v>
      </c>
      <c r="D235" s="13" t="n">
        <v>0</v>
      </c>
      <c r="E235" s="13" t="n">
        <v>0</v>
      </c>
      <c r="F235" s="13" t="n">
        <v>0</v>
      </c>
      <c r="G235" s="13" t="n">
        <v>11</v>
      </c>
      <c r="H235" s="13" t="n">
        <v>0</v>
      </c>
    </row>
    <row r="236" customFormat="false" ht="15" hidden="false" customHeight="false" outlineLevel="0" collapsed="false">
      <c r="A236" s="4" t="s">
        <v>370</v>
      </c>
      <c r="B236" s="13" t="n">
        <v>1</v>
      </c>
      <c r="C236" s="13" t="n">
        <v>1</v>
      </c>
      <c r="D236" s="13" t="n">
        <v>0</v>
      </c>
      <c r="E236" s="13" t="n">
        <v>0</v>
      </c>
      <c r="F236" s="13" t="n">
        <v>0</v>
      </c>
      <c r="G236" s="13" t="n">
        <v>11</v>
      </c>
      <c r="H236" s="13" t="n">
        <v>0</v>
      </c>
    </row>
    <row r="237" customFormat="false" ht="15" hidden="false" customHeight="false" outlineLevel="0" collapsed="false">
      <c r="A237" s="4" t="s">
        <v>371</v>
      </c>
      <c r="B237" s="13" t="n">
        <v>0</v>
      </c>
      <c r="C237" s="13" t="n">
        <v>0</v>
      </c>
      <c r="D237" s="13" t="n">
        <v>0</v>
      </c>
      <c r="E237" s="13" t="n">
        <v>0</v>
      </c>
      <c r="F237" s="13" t="n">
        <v>0</v>
      </c>
      <c r="G237" s="13" t="n">
        <v>11</v>
      </c>
      <c r="H237" s="13" t="n">
        <v>0</v>
      </c>
    </row>
    <row r="238" customFormat="false" ht="15" hidden="false" customHeight="false" outlineLevel="0" collapsed="false">
      <c r="A238" s="4" t="s">
        <v>372</v>
      </c>
      <c r="B238" s="13" t="n">
        <v>0</v>
      </c>
      <c r="C238" s="13" t="n">
        <v>0</v>
      </c>
      <c r="D238" s="13" t="n">
        <v>0</v>
      </c>
      <c r="E238" s="13" t="n">
        <v>0</v>
      </c>
      <c r="F238" s="13" t="n">
        <v>0</v>
      </c>
      <c r="G238" s="13" t="n">
        <v>11</v>
      </c>
      <c r="H238" s="13" t="n">
        <v>0</v>
      </c>
    </row>
    <row r="239" customFormat="false" ht="15" hidden="false" customHeight="false" outlineLevel="0" collapsed="false">
      <c r="A239" s="4" t="s">
        <v>373</v>
      </c>
      <c r="B239" s="13" t="n">
        <v>0</v>
      </c>
      <c r="C239" s="13" t="n">
        <v>0</v>
      </c>
      <c r="D239" s="13" t="n">
        <v>0</v>
      </c>
      <c r="E239" s="13" t="n">
        <v>0</v>
      </c>
      <c r="F239" s="13" t="n">
        <v>0</v>
      </c>
      <c r="G239" s="13" t="n">
        <v>11</v>
      </c>
      <c r="H239" s="13" t="n">
        <v>0</v>
      </c>
    </row>
    <row r="240" customFormat="false" ht="15" hidden="false" customHeight="false" outlineLevel="0" collapsed="false">
      <c r="A240" s="4" t="s">
        <v>374</v>
      </c>
      <c r="B240" s="13" t="n">
        <v>0</v>
      </c>
      <c r="C240" s="13" t="n">
        <v>0</v>
      </c>
      <c r="D240" s="13" t="n">
        <v>0</v>
      </c>
      <c r="E240" s="13" t="n">
        <v>0</v>
      </c>
      <c r="F240" s="13" t="n">
        <v>0</v>
      </c>
      <c r="G240" s="13" t="n">
        <v>11</v>
      </c>
      <c r="H240" s="13" t="n">
        <v>0</v>
      </c>
    </row>
    <row r="241" customFormat="false" ht="15" hidden="false" customHeight="false" outlineLevel="0" collapsed="false">
      <c r="A241" s="4" t="s">
        <v>375</v>
      </c>
      <c r="B241" s="13" t="n">
        <v>0</v>
      </c>
      <c r="C241" s="13" t="n">
        <v>0</v>
      </c>
      <c r="D241" s="13" t="n">
        <v>0</v>
      </c>
      <c r="E241" s="13" t="n">
        <v>0</v>
      </c>
      <c r="F241" s="13" t="n">
        <v>0</v>
      </c>
      <c r="G241" s="13" t="n">
        <v>11</v>
      </c>
      <c r="H241" s="13" t="n">
        <v>0</v>
      </c>
    </row>
    <row r="242" customFormat="false" ht="15" hidden="false" customHeight="false" outlineLevel="0" collapsed="false">
      <c r="A242" s="4" t="s">
        <v>376</v>
      </c>
      <c r="B242" s="13" t="n">
        <v>1</v>
      </c>
      <c r="C242" s="13" t="n">
        <v>1</v>
      </c>
      <c r="D242" s="13" t="n">
        <v>0</v>
      </c>
      <c r="E242" s="13" t="n">
        <v>0</v>
      </c>
      <c r="F242" s="13" t="n">
        <v>0</v>
      </c>
      <c r="G242" s="13" t="n">
        <v>11</v>
      </c>
      <c r="H242" s="13" t="n">
        <v>0</v>
      </c>
    </row>
    <row r="243" customFormat="false" ht="15" hidden="false" customHeight="false" outlineLevel="0" collapsed="false">
      <c r="A243" s="4" t="s">
        <v>377</v>
      </c>
      <c r="B243" s="13" t="n">
        <v>0</v>
      </c>
      <c r="C243" s="13" t="n">
        <v>0</v>
      </c>
      <c r="D243" s="13" t="n">
        <v>0</v>
      </c>
      <c r="E243" s="13" t="n">
        <v>0</v>
      </c>
      <c r="F243" s="13" t="n">
        <v>0</v>
      </c>
      <c r="G243" s="13" t="n">
        <v>11</v>
      </c>
      <c r="H243" s="13" t="n">
        <v>0</v>
      </c>
    </row>
    <row r="244" customFormat="false" ht="15" hidden="false" customHeight="false" outlineLevel="0" collapsed="false">
      <c r="A244" s="4" t="s">
        <v>156</v>
      </c>
      <c r="B244" s="13" t="n">
        <v>82</v>
      </c>
      <c r="C244" s="13" t="n">
        <v>8</v>
      </c>
      <c r="D244" s="13" t="n">
        <v>74</v>
      </c>
      <c r="E244" s="13" t="n">
        <v>4</v>
      </c>
      <c r="F244" s="13" t="n">
        <v>0</v>
      </c>
      <c r="G244" s="13" t="n">
        <v>11</v>
      </c>
      <c r="H244" s="13" t="n">
        <v>3</v>
      </c>
    </row>
    <row r="245" customFormat="false" ht="15" hidden="false" customHeight="false" outlineLevel="0" collapsed="false">
      <c r="A245" s="4" t="s">
        <v>157</v>
      </c>
      <c r="B245" s="13" t="n">
        <v>12</v>
      </c>
      <c r="C245" s="13" t="n">
        <v>0</v>
      </c>
      <c r="D245" s="13" t="n">
        <v>12</v>
      </c>
      <c r="E245" s="13" t="n">
        <v>0</v>
      </c>
      <c r="F245" s="13" t="n">
        <v>0</v>
      </c>
      <c r="G245" s="13" t="n">
        <v>11</v>
      </c>
      <c r="H245" s="13" t="n">
        <v>0</v>
      </c>
    </row>
    <row r="246" customFormat="false" ht="15" hidden="false" customHeight="false" outlineLevel="0" collapsed="false">
      <c r="A246" s="4" t="s">
        <v>158</v>
      </c>
      <c r="B246" s="13" t="n">
        <v>6</v>
      </c>
      <c r="C246" s="13" t="n">
        <v>0</v>
      </c>
      <c r="D246" s="13" t="n">
        <v>6</v>
      </c>
      <c r="E246" s="13" t="n">
        <v>0</v>
      </c>
      <c r="F246" s="13" t="n">
        <v>0</v>
      </c>
      <c r="G246" s="13" t="n">
        <v>11</v>
      </c>
      <c r="H246" s="13" t="n">
        <v>0</v>
      </c>
    </row>
    <row r="247" customFormat="false" ht="15" hidden="false" customHeight="false" outlineLevel="0" collapsed="false">
      <c r="A247" s="4" t="s">
        <v>159</v>
      </c>
      <c r="B247" s="13" t="n">
        <v>1</v>
      </c>
      <c r="C247" s="13" t="n">
        <v>0</v>
      </c>
      <c r="D247" s="13" t="n">
        <v>1</v>
      </c>
      <c r="E247" s="13" t="n">
        <v>0</v>
      </c>
      <c r="F247" s="13" t="n">
        <v>0</v>
      </c>
      <c r="G247" s="13" t="n">
        <v>11</v>
      </c>
      <c r="H247" s="13" t="n">
        <v>0</v>
      </c>
    </row>
    <row r="248" customFormat="false" ht="15" hidden="false" customHeight="false" outlineLevel="0" collapsed="false">
      <c r="A248" s="4" t="s">
        <v>160</v>
      </c>
      <c r="B248" s="13" t="n">
        <v>3</v>
      </c>
      <c r="C248" s="13" t="n">
        <v>0</v>
      </c>
      <c r="D248" s="13" t="n">
        <v>3</v>
      </c>
      <c r="E248" s="13" t="n">
        <v>0</v>
      </c>
      <c r="F248" s="13" t="n">
        <v>0</v>
      </c>
      <c r="G248" s="13" t="n">
        <v>11</v>
      </c>
      <c r="H248" s="13" t="n">
        <v>0</v>
      </c>
    </row>
    <row r="249" customFormat="false" ht="15" hidden="false" customHeight="false" outlineLevel="0" collapsed="false">
      <c r="A249" s="4" t="s">
        <v>161</v>
      </c>
      <c r="B249" s="13" t="n">
        <v>0</v>
      </c>
      <c r="C249" s="13" t="n">
        <v>0</v>
      </c>
      <c r="D249" s="13" t="n">
        <v>0</v>
      </c>
      <c r="E249" s="13" t="n">
        <v>0</v>
      </c>
      <c r="F249" s="13" t="n">
        <v>0</v>
      </c>
      <c r="G249" s="13" t="n">
        <v>11</v>
      </c>
      <c r="H249" s="13" t="n">
        <v>0</v>
      </c>
    </row>
    <row r="250" customFormat="false" ht="15" hidden="false" customHeight="false" outlineLevel="0" collapsed="false">
      <c r="A250" s="4" t="s">
        <v>162</v>
      </c>
      <c r="B250" s="13" t="n">
        <v>0</v>
      </c>
      <c r="C250" s="13" t="n">
        <v>0</v>
      </c>
      <c r="D250" s="13" t="n">
        <v>0</v>
      </c>
      <c r="E250" s="13" t="n">
        <v>0</v>
      </c>
      <c r="F250" s="13" t="n">
        <v>0</v>
      </c>
      <c r="G250" s="13" t="n">
        <v>11</v>
      </c>
      <c r="H250" s="13" t="n">
        <v>0</v>
      </c>
    </row>
    <row r="251" customFormat="false" ht="15" hidden="false" customHeight="false" outlineLevel="0" collapsed="false">
      <c r="A251" s="4" t="s">
        <v>163</v>
      </c>
      <c r="B251" s="13" t="n">
        <v>1</v>
      </c>
      <c r="C251" s="13" t="n">
        <v>1</v>
      </c>
      <c r="D251" s="13" t="n">
        <v>0</v>
      </c>
      <c r="E251" s="13" t="n">
        <v>0</v>
      </c>
      <c r="F251" s="13" t="n">
        <v>0</v>
      </c>
      <c r="G251" s="13" t="n">
        <v>11</v>
      </c>
      <c r="H251" s="13" t="n">
        <v>0</v>
      </c>
    </row>
    <row r="252" customFormat="false" ht="15" hidden="false" customHeight="false" outlineLevel="0" collapsed="false">
      <c r="A252" s="4" t="s">
        <v>164</v>
      </c>
      <c r="B252" s="13" t="n">
        <v>0</v>
      </c>
      <c r="C252" s="13" t="n">
        <v>0</v>
      </c>
      <c r="D252" s="13" t="n">
        <v>0</v>
      </c>
      <c r="E252" s="13" t="n">
        <v>0</v>
      </c>
      <c r="F252" s="13" t="n">
        <v>0</v>
      </c>
      <c r="G252" s="13" t="n">
        <v>11</v>
      </c>
      <c r="H252" s="13" t="n">
        <v>0</v>
      </c>
    </row>
    <row r="253" customFormat="false" ht="15" hidden="false" customHeight="false" outlineLevel="0" collapsed="false">
      <c r="A253" s="4" t="s">
        <v>165</v>
      </c>
      <c r="B253" s="13" t="n">
        <v>0</v>
      </c>
      <c r="C253" s="13" t="n">
        <v>0</v>
      </c>
      <c r="D253" s="13" t="n">
        <v>0</v>
      </c>
      <c r="E253" s="13" t="n">
        <v>0</v>
      </c>
      <c r="F253" s="13" t="n">
        <v>0</v>
      </c>
      <c r="G253" s="13" t="n">
        <v>11</v>
      </c>
      <c r="H253" s="13" t="n">
        <v>0</v>
      </c>
    </row>
    <row r="254" customFormat="false" ht="15" hidden="false" customHeight="false" outlineLevel="0" collapsed="false">
      <c r="A254" s="4" t="s">
        <v>166</v>
      </c>
      <c r="B254" s="13" t="n">
        <v>2</v>
      </c>
      <c r="C254" s="13" t="n">
        <v>1</v>
      </c>
      <c r="D254" s="13" t="n">
        <v>1</v>
      </c>
      <c r="E254" s="13" t="n">
        <v>0</v>
      </c>
      <c r="F254" s="13" t="n">
        <v>0</v>
      </c>
      <c r="G254" s="13" t="n">
        <v>11</v>
      </c>
      <c r="H254" s="13" t="n">
        <v>0</v>
      </c>
    </row>
    <row r="255" customFormat="false" ht="15" hidden="false" customHeight="false" outlineLevel="0" collapsed="false">
      <c r="A255" s="4" t="s">
        <v>167</v>
      </c>
      <c r="B255" s="13" t="n">
        <v>1</v>
      </c>
      <c r="C255" s="13" t="n">
        <v>0</v>
      </c>
      <c r="D255" s="13" t="n">
        <v>1</v>
      </c>
      <c r="E255" s="13" t="n">
        <v>0</v>
      </c>
      <c r="F255" s="13" t="n">
        <v>0</v>
      </c>
      <c r="G255" s="13" t="n">
        <v>11</v>
      </c>
      <c r="H255" s="13" t="n">
        <v>6</v>
      </c>
    </row>
    <row r="256" customFormat="false" ht="15" hidden="false" customHeight="false" outlineLevel="0" collapsed="false">
      <c r="A256" s="4" t="s">
        <v>168</v>
      </c>
      <c r="B256" s="13" t="n">
        <v>4</v>
      </c>
      <c r="C256" s="13" t="n">
        <v>3</v>
      </c>
      <c r="D256" s="13" t="n">
        <v>1</v>
      </c>
      <c r="E256" s="13" t="n">
        <v>0</v>
      </c>
      <c r="F256" s="13" t="n">
        <v>0</v>
      </c>
      <c r="G256" s="13" t="n">
        <v>11</v>
      </c>
      <c r="H256" s="13" t="n">
        <v>0</v>
      </c>
    </row>
    <row r="257" customFormat="false" ht="15" hidden="false" customHeight="false" outlineLevel="0" collapsed="false">
      <c r="A257" s="4" t="s">
        <v>169</v>
      </c>
      <c r="B257" s="13" t="n">
        <v>14</v>
      </c>
      <c r="C257" s="13" t="n">
        <v>14</v>
      </c>
      <c r="D257" s="13" t="n">
        <v>0</v>
      </c>
      <c r="E257" s="13" t="n">
        <v>0</v>
      </c>
      <c r="F257" s="13" t="n">
        <v>0</v>
      </c>
      <c r="G257" s="13" t="n">
        <v>11</v>
      </c>
      <c r="H257" s="13" t="n">
        <v>0</v>
      </c>
    </row>
    <row r="258" customFormat="false" ht="15" hidden="false" customHeight="false" outlineLevel="0" collapsed="false">
      <c r="A258" s="4" t="s">
        <v>170</v>
      </c>
      <c r="B258" s="13" t="n">
        <v>692</v>
      </c>
      <c r="C258" s="13" t="n">
        <v>41</v>
      </c>
      <c r="D258" s="13" t="n">
        <v>651</v>
      </c>
      <c r="E258" s="13" t="n">
        <v>18</v>
      </c>
      <c r="F258" s="13" t="n">
        <v>1</v>
      </c>
      <c r="G258" s="13" t="n">
        <v>12</v>
      </c>
      <c r="H258" s="13" t="n">
        <v>27</v>
      </c>
    </row>
    <row r="259" customFormat="false" ht="15" hidden="false" customHeight="false" outlineLevel="0" collapsed="false">
      <c r="A259" s="4" t="s">
        <v>171</v>
      </c>
      <c r="B259" s="13" t="n">
        <v>604</v>
      </c>
      <c r="C259" s="13" t="n">
        <v>7</v>
      </c>
      <c r="D259" s="13" t="n">
        <v>597</v>
      </c>
      <c r="E259" s="13" t="n">
        <v>12</v>
      </c>
      <c r="F259" s="13" t="n">
        <v>2</v>
      </c>
      <c r="G259" s="13" t="n">
        <v>14</v>
      </c>
      <c r="H259" s="13" t="n">
        <v>42</v>
      </c>
    </row>
    <row r="260" customFormat="false" ht="15" hidden="false" customHeight="false" outlineLevel="0" collapsed="false">
      <c r="A260" s="4" t="s">
        <v>172</v>
      </c>
      <c r="B260" s="13" t="n">
        <v>827</v>
      </c>
      <c r="C260" s="13" t="n">
        <v>40</v>
      </c>
      <c r="D260" s="13" t="n">
        <v>787</v>
      </c>
      <c r="E260" s="13" t="n">
        <v>27</v>
      </c>
      <c r="F260" s="13" t="n">
        <v>0</v>
      </c>
      <c r="G260" s="13" t="n">
        <v>14</v>
      </c>
      <c r="H260" s="13" t="n">
        <v>74</v>
      </c>
    </row>
    <row r="261" customFormat="false" ht="15" hidden="false" customHeight="false" outlineLevel="0" collapsed="false">
      <c r="A261" s="4" t="s">
        <v>173</v>
      </c>
      <c r="B261" s="13" t="n">
        <v>664</v>
      </c>
      <c r="C261" s="13" t="n">
        <v>7</v>
      </c>
      <c r="D261" s="13" t="n">
        <v>657</v>
      </c>
      <c r="E261" s="13" t="n">
        <v>21</v>
      </c>
      <c r="F261" s="13" t="n">
        <v>0</v>
      </c>
      <c r="G261" s="13" t="n">
        <v>14</v>
      </c>
      <c r="H261" s="13" t="n">
        <v>48</v>
      </c>
    </row>
    <row r="262" customFormat="false" ht="15" hidden="false" customHeight="false" outlineLevel="0" collapsed="false">
      <c r="A262" s="4" t="s">
        <v>174</v>
      </c>
      <c r="B262" s="13" t="n">
        <v>615</v>
      </c>
      <c r="C262" s="13" t="n">
        <v>36</v>
      </c>
      <c r="D262" s="13" t="n">
        <v>579</v>
      </c>
      <c r="E262" s="13" t="n">
        <v>21</v>
      </c>
      <c r="F262" s="13" t="n">
        <v>1</v>
      </c>
      <c r="G262" s="13" t="n">
        <v>15</v>
      </c>
      <c r="H262" s="13" t="n">
        <v>72</v>
      </c>
    </row>
    <row r="263" customFormat="false" ht="15" hidden="false" customHeight="false" outlineLevel="0" collapsed="false">
      <c r="A263" s="4" t="s">
        <v>175</v>
      </c>
      <c r="B263" s="13" t="n">
        <v>561</v>
      </c>
      <c r="C263" s="13" t="n">
        <v>46</v>
      </c>
      <c r="D263" s="13" t="n">
        <v>515</v>
      </c>
      <c r="E263" s="13" t="n">
        <v>21</v>
      </c>
      <c r="F263" s="13" t="n">
        <v>0</v>
      </c>
      <c r="G263" s="13" t="n">
        <v>15</v>
      </c>
      <c r="H263" s="13" t="n">
        <v>56</v>
      </c>
    </row>
    <row r="264" customFormat="false" ht="15" hidden="false" customHeight="false" outlineLevel="0" collapsed="false">
      <c r="A264" s="4" t="s">
        <v>176</v>
      </c>
      <c r="B264" s="13" t="n">
        <v>558</v>
      </c>
      <c r="C264" s="13" t="n">
        <v>98</v>
      </c>
      <c r="D264" s="13" t="n">
        <v>460</v>
      </c>
      <c r="E264" s="13" t="n">
        <v>18</v>
      </c>
      <c r="F264" s="13" t="n">
        <v>0</v>
      </c>
      <c r="G264" s="13" t="n">
        <v>15</v>
      </c>
      <c r="H264" s="13" t="n">
        <v>57</v>
      </c>
    </row>
    <row r="265" customFormat="false" ht="15" hidden="false" customHeight="false" outlineLevel="0" collapsed="false">
      <c r="A265" s="4" t="s">
        <v>177</v>
      </c>
      <c r="B265" s="13" t="n">
        <v>550</v>
      </c>
      <c r="C265" s="13" t="n">
        <v>26</v>
      </c>
      <c r="D265" s="13" t="n">
        <v>524</v>
      </c>
      <c r="E265" s="13" t="n">
        <v>19</v>
      </c>
      <c r="F265" s="13" t="n">
        <v>1</v>
      </c>
      <c r="G265" s="13" t="n">
        <v>16</v>
      </c>
      <c r="H265" s="13" t="n">
        <v>57</v>
      </c>
    </row>
    <row r="266" customFormat="false" ht="15" hidden="false" customHeight="false" outlineLevel="0" collapsed="false">
      <c r="A266" s="4" t="s">
        <v>178</v>
      </c>
      <c r="B266" s="13" t="n">
        <v>596</v>
      </c>
      <c r="C266" s="13" t="n">
        <v>79</v>
      </c>
      <c r="D266" s="13" t="n">
        <v>517</v>
      </c>
      <c r="E266" s="13" t="n">
        <v>23</v>
      </c>
      <c r="F266" s="13" t="n">
        <v>0</v>
      </c>
      <c r="G266" s="13" t="n">
        <v>16</v>
      </c>
      <c r="H266" s="13" t="n">
        <v>72</v>
      </c>
    </row>
    <row r="267" customFormat="false" ht="15" hidden="false" customHeight="false" outlineLevel="0" collapsed="false">
      <c r="A267" s="4" t="s">
        <v>179</v>
      </c>
      <c r="B267" s="13" t="n">
        <v>672</v>
      </c>
      <c r="C267" s="13" t="n">
        <v>103</v>
      </c>
      <c r="D267" s="13" t="n">
        <v>569</v>
      </c>
      <c r="E267" s="13" t="n">
        <v>20</v>
      </c>
      <c r="F267" s="13" t="n">
        <v>2</v>
      </c>
      <c r="G267" s="13" t="n">
        <v>18</v>
      </c>
      <c r="H267" s="13" t="n">
        <v>72</v>
      </c>
    </row>
    <row r="268" customFormat="false" ht="15" hidden="false" customHeight="false" outlineLevel="0" collapsed="false">
      <c r="A268" s="4" t="s">
        <v>180</v>
      </c>
      <c r="B268" s="13" t="n">
        <v>642</v>
      </c>
      <c r="C268" s="13" t="n">
        <v>60</v>
      </c>
      <c r="D268" s="13" t="n">
        <v>582</v>
      </c>
      <c r="E268" s="13" t="n">
        <v>19</v>
      </c>
      <c r="F268" s="13" t="n">
        <v>1</v>
      </c>
      <c r="G268" s="13" t="n">
        <v>19</v>
      </c>
      <c r="H268" s="13" t="n">
        <v>60</v>
      </c>
    </row>
    <row r="269" customFormat="false" ht="15" hidden="false" customHeight="false" outlineLevel="0" collapsed="false">
      <c r="A269" s="4" t="s">
        <v>181</v>
      </c>
      <c r="B269" s="13" t="n">
        <v>505</v>
      </c>
      <c r="C269" s="13" t="n">
        <v>11</v>
      </c>
      <c r="D269" s="13" t="n">
        <v>494</v>
      </c>
      <c r="E269" s="13" t="n">
        <v>16</v>
      </c>
      <c r="F269" s="13" t="n">
        <v>0</v>
      </c>
      <c r="G269" s="13" t="n">
        <v>19</v>
      </c>
      <c r="H269" s="13" t="n">
        <v>33</v>
      </c>
    </row>
    <row r="270" customFormat="false" ht="15" hidden="false" customHeight="false" outlineLevel="0" collapsed="false">
      <c r="A270" s="4" t="s">
        <v>182</v>
      </c>
      <c r="B270" s="13" t="n">
        <v>581</v>
      </c>
      <c r="C270" s="13" t="n">
        <v>9</v>
      </c>
      <c r="D270" s="13" t="n">
        <v>572</v>
      </c>
      <c r="E270" s="13" t="n">
        <v>13</v>
      </c>
      <c r="F270" s="13" t="n">
        <v>0</v>
      </c>
      <c r="G270" s="13" t="n">
        <v>19</v>
      </c>
      <c r="H270" s="13" t="n">
        <v>33</v>
      </c>
    </row>
    <row r="271" customFormat="false" ht="15" hidden="false" customHeight="false" outlineLevel="0" collapsed="false">
      <c r="A271" s="4" t="s">
        <v>183</v>
      </c>
      <c r="B271" s="13" t="n">
        <v>516</v>
      </c>
      <c r="C271" s="13" t="n">
        <v>11</v>
      </c>
      <c r="D271" s="13" t="n">
        <v>505</v>
      </c>
      <c r="E271" s="13" t="n">
        <v>9</v>
      </c>
      <c r="F271" s="13" t="n">
        <v>0</v>
      </c>
      <c r="G271" s="13" t="n">
        <v>19</v>
      </c>
      <c r="H271" s="13" t="n">
        <v>30</v>
      </c>
    </row>
    <row r="272" customFormat="false" ht="15" hidden="false" customHeight="false" outlineLevel="0" collapsed="false">
      <c r="A272" s="4" t="s">
        <v>184</v>
      </c>
      <c r="B272" s="13" t="n">
        <v>428</v>
      </c>
      <c r="C272" s="13" t="n">
        <v>9</v>
      </c>
      <c r="D272" s="13" t="n">
        <v>419</v>
      </c>
      <c r="E272" s="13" t="n">
        <v>8</v>
      </c>
      <c r="F272" s="13" t="n">
        <v>0</v>
      </c>
      <c r="G272" s="13" t="n">
        <v>19</v>
      </c>
      <c r="H272" s="13" t="n">
        <v>33</v>
      </c>
    </row>
    <row r="273" customFormat="false" ht="15" hidden="false" customHeight="false" outlineLevel="0" collapsed="false">
      <c r="A273" s="4" t="s">
        <v>185</v>
      </c>
      <c r="B273" s="13" t="n">
        <v>552</v>
      </c>
      <c r="C273" s="13" t="n">
        <v>2</v>
      </c>
      <c r="D273" s="13" t="n">
        <v>550</v>
      </c>
      <c r="E273" s="13" t="n">
        <v>13</v>
      </c>
      <c r="F273" s="13" t="n">
        <v>0</v>
      </c>
      <c r="G273" s="13" t="n">
        <v>19</v>
      </c>
      <c r="H273" s="13" t="n">
        <v>42</v>
      </c>
    </row>
    <row r="274" customFormat="false" ht="15" hidden="false" customHeight="false" outlineLevel="0" collapsed="false">
      <c r="A274" s="4" t="s">
        <v>186</v>
      </c>
      <c r="B274" s="13" t="n">
        <v>495</v>
      </c>
      <c r="C274" s="13" t="n">
        <v>12</v>
      </c>
      <c r="D274" s="13" t="n">
        <v>483</v>
      </c>
      <c r="E274" s="13" t="n">
        <v>18</v>
      </c>
      <c r="F274" s="13" t="n">
        <v>0</v>
      </c>
      <c r="G274" s="13" t="n">
        <v>19</v>
      </c>
      <c r="H274" s="13" t="n">
        <v>54</v>
      </c>
    </row>
    <row r="275" customFormat="false" ht="15" hidden="false" customHeight="false" outlineLevel="0" collapsed="false">
      <c r="A275" s="4" t="s">
        <v>187</v>
      </c>
      <c r="B275" s="13" t="n">
        <v>395</v>
      </c>
      <c r="C275" s="13" t="n">
        <v>36</v>
      </c>
      <c r="D275" s="13" t="n">
        <v>359</v>
      </c>
      <c r="E275" s="13" t="n">
        <v>13</v>
      </c>
      <c r="F275" s="13" t="n">
        <v>0</v>
      </c>
      <c r="G275" s="13" t="n">
        <v>19</v>
      </c>
      <c r="H275" s="13" t="n">
        <v>45</v>
      </c>
    </row>
    <row r="276" customFormat="false" ht="15" hidden="false" customHeight="false" outlineLevel="0" collapsed="false">
      <c r="A276" s="4" t="s">
        <v>188</v>
      </c>
      <c r="B276" s="13" t="n">
        <v>259</v>
      </c>
      <c r="C276" s="13" t="n">
        <v>9</v>
      </c>
      <c r="D276" s="13" t="n">
        <v>250</v>
      </c>
      <c r="E276" s="13" t="n">
        <v>5</v>
      </c>
      <c r="F276" s="13" t="n">
        <v>0</v>
      </c>
      <c r="G276" s="13" t="n">
        <v>19</v>
      </c>
      <c r="H276" s="13" t="n">
        <v>24</v>
      </c>
    </row>
    <row r="277" customFormat="false" ht="15" hidden="false" customHeight="false" outlineLevel="0" collapsed="false">
      <c r="A277" s="4" t="s">
        <v>189</v>
      </c>
      <c r="B277" s="13" t="n">
        <v>88</v>
      </c>
      <c r="C277" s="13" t="n">
        <v>2</v>
      </c>
      <c r="D277" s="13" t="n">
        <v>86</v>
      </c>
      <c r="E277" s="13" t="n">
        <v>0</v>
      </c>
      <c r="F277" s="13" t="n">
        <v>0</v>
      </c>
      <c r="G277" s="13" t="n">
        <v>19</v>
      </c>
      <c r="H277" s="13" t="n">
        <v>0</v>
      </c>
    </row>
    <row r="278" customFormat="false" ht="15" hidden="false" customHeight="false" outlineLevel="0" collapsed="false">
      <c r="A278" s="4" t="s">
        <v>190</v>
      </c>
      <c r="B278" s="13" t="n">
        <v>0</v>
      </c>
      <c r="C278" s="13" t="n">
        <v>0</v>
      </c>
      <c r="D278" s="13" t="n">
        <v>0</v>
      </c>
      <c r="E278" s="13" t="n">
        <v>0</v>
      </c>
      <c r="F278" s="13" t="n">
        <v>0</v>
      </c>
      <c r="G278" s="13" t="n">
        <v>19</v>
      </c>
      <c r="H278" s="13" t="n">
        <v>2</v>
      </c>
    </row>
  </sheetData>
  <autoFilter ref="A4:H2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7.35" hidden="false" customHeight="false" outlineLevel="0" collapsed="false">
      <c r="A1" s="10" t="s">
        <v>378</v>
      </c>
    </row>
    <row r="2" customFormat="false" ht="15" hidden="false" customHeight="false" outlineLevel="0" collapsed="false">
      <c r="A2" s="2" t="s">
        <v>379</v>
      </c>
    </row>
    <row r="4" customFormat="false" ht="31.5" hidden="false" customHeight="true" outlineLevel="0" collapsed="false">
      <c r="A4" s="11" t="s">
        <v>80</v>
      </c>
      <c r="B4" s="11" t="s">
        <v>34</v>
      </c>
      <c r="C4" s="11" t="s">
        <v>193</v>
      </c>
      <c r="D4" s="11" t="s">
        <v>194</v>
      </c>
      <c r="E4" s="11" t="s">
        <v>6</v>
      </c>
      <c r="F4" s="11" t="s">
        <v>195</v>
      </c>
      <c r="G4" s="11" t="s">
        <v>7</v>
      </c>
      <c r="H4" s="11" t="s">
        <v>5</v>
      </c>
    </row>
    <row r="5" customFormat="false" ht="15" hidden="false" customHeight="false" outlineLevel="0" collapsed="false">
      <c r="A5" s="4" t="s">
        <v>380</v>
      </c>
      <c r="B5" s="13" t="n">
        <f aca="false">SUMPRODUCT((LEFT('FB Giornaliero'!$A$5:$A$278,7)=$A5)*'FB Giornaliero'!B$5:B$278)</f>
        <v>0</v>
      </c>
      <c r="C5" s="13" t="n">
        <f aca="false">SUMPRODUCT((LEFT('FB Giornaliero'!$A$5:$A$278,7)=$A5)*'FB Giornaliero'!C$5:C$278)</f>
        <v>0</v>
      </c>
      <c r="D5" s="13" t="n">
        <f aca="false">SUMPRODUCT((LEFT('FB Giornaliero'!$A$5:$A$278,7)=$A5)*'FB Giornaliero'!D$5:D$278)</f>
        <v>0</v>
      </c>
      <c r="E5" s="13" t="n">
        <f aca="false">SUMPRODUCT((LEFT('FB Giornaliero'!$A$5:$A$278,7)=$A5)*'FB Giornaliero'!E$5:E$278)</f>
        <v>0</v>
      </c>
      <c r="F5" s="13" t="n">
        <f aca="false">SUMPRODUCT((LEFT('FB Giornaliero'!$A$5:$A$278,7)=$A5)*'FB Giornaliero'!F$5:F$278)</f>
        <v>1</v>
      </c>
      <c r="G5" s="13" t="n">
        <f aca="false">SUMPRODUCT((LEFT('FB Giornaliero'!$A$5:$A$278,7)=$A5)*'FB Giornaliero'!H$5:H$278)</f>
        <v>11</v>
      </c>
      <c r="H5" s="15" t="n">
        <f aca="false">IFERROR(D5/B5,0)</f>
        <v>0</v>
      </c>
    </row>
    <row r="6" customFormat="false" ht="15" hidden="false" customHeight="false" outlineLevel="0" collapsed="false">
      <c r="A6" s="4" t="s">
        <v>381</v>
      </c>
      <c r="B6" s="13" t="n">
        <f aca="false">SUMPRODUCT((LEFT('FB Giornaliero'!$A$5:$A$278,7)=$A6)*'FB Giornaliero'!B$5:B$278)</f>
        <v>170</v>
      </c>
      <c r="C6" s="13" t="n">
        <f aca="false">SUMPRODUCT((LEFT('FB Giornaliero'!$A$5:$A$278,7)=$A6)*'FB Giornaliero'!C$5:C$278)</f>
        <v>170</v>
      </c>
      <c r="D6" s="13" t="n">
        <f aca="false">SUMPRODUCT((LEFT('FB Giornaliero'!$A$5:$A$278,7)=$A6)*'FB Giornaliero'!D$5:D$278)</f>
        <v>0</v>
      </c>
      <c r="E6" s="13" t="n">
        <f aca="false">SUMPRODUCT((LEFT('FB Giornaliero'!$A$5:$A$278,7)=$A6)*'FB Giornaliero'!E$5:E$278)</f>
        <v>28</v>
      </c>
      <c r="F6" s="13" t="n">
        <f aca="false">SUMPRODUCT((LEFT('FB Giornaliero'!$A$5:$A$278,7)=$A6)*'FB Giornaliero'!F$5:F$278)</f>
        <v>7</v>
      </c>
      <c r="G6" s="13" t="n">
        <f aca="false">SUMPRODUCT((LEFT('FB Giornaliero'!$A$5:$A$278,7)=$A6)*'FB Giornaliero'!H$5:H$278)</f>
        <v>23</v>
      </c>
      <c r="H6" s="15" t="n">
        <f aca="false">IFERROR(D6/B6,0)</f>
        <v>0</v>
      </c>
    </row>
    <row r="7" customFormat="false" ht="15" hidden="false" customHeight="false" outlineLevel="0" collapsed="false">
      <c r="A7" s="4" t="s">
        <v>382</v>
      </c>
      <c r="B7" s="13" t="n">
        <f aca="false">SUMPRODUCT((LEFT('FB Giornaliero'!$A$5:$A$278,7)=$A7)*'FB Giornaliero'!B$5:B$278)</f>
        <v>97</v>
      </c>
      <c r="C7" s="13" t="n">
        <f aca="false">SUMPRODUCT((LEFT('FB Giornaliero'!$A$5:$A$278,7)=$A7)*'FB Giornaliero'!C$5:C$278)</f>
        <v>97</v>
      </c>
      <c r="D7" s="13" t="n">
        <f aca="false">SUMPRODUCT((LEFT('FB Giornaliero'!$A$5:$A$278,7)=$A7)*'FB Giornaliero'!D$5:D$278)</f>
        <v>0</v>
      </c>
      <c r="E7" s="13" t="n">
        <f aca="false">SUMPRODUCT((LEFT('FB Giornaliero'!$A$5:$A$278,7)=$A7)*'FB Giornaliero'!E$5:E$278)</f>
        <v>15</v>
      </c>
      <c r="F7" s="13" t="n">
        <f aca="false">SUMPRODUCT((LEFT('FB Giornaliero'!$A$5:$A$278,7)=$A7)*'FB Giornaliero'!F$5:F$278)</f>
        <v>1</v>
      </c>
      <c r="G7" s="13" t="n">
        <f aca="false">SUMPRODUCT((LEFT('FB Giornaliero'!$A$5:$A$278,7)=$A7)*'FB Giornaliero'!H$5:H$278)</f>
        <v>18</v>
      </c>
      <c r="H7" s="15" t="n">
        <f aca="false">IFERROR(D7/B7,0)</f>
        <v>0</v>
      </c>
    </row>
    <row r="8" customFormat="false" ht="15" hidden="false" customHeight="false" outlineLevel="0" collapsed="false">
      <c r="A8" s="4" t="s">
        <v>383</v>
      </c>
      <c r="B8" s="13" t="n">
        <f aca="false">SUMPRODUCT((LEFT('FB Giornaliero'!$A$5:$A$278,7)=$A8)*'FB Giornaliero'!B$5:B$278)</f>
        <v>80</v>
      </c>
      <c r="C8" s="13" t="n">
        <f aca="false">SUMPRODUCT((LEFT('FB Giornaliero'!$A$5:$A$278,7)=$A8)*'FB Giornaliero'!C$5:C$278)</f>
        <v>80</v>
      </c>
      <c r="D8" s="13" t="n">
        <f aca="false">SUMPRODUCT((LEFT('FB Giornaliero'!$A$5:$A$278,7)=$A8)*'FB Giornaliero'!D$5:D$278)</f>
        <v>0</v>
      </c>
      <c r="E8" s="13" t="n">
        <f aca="false">SUMPRODUCT((LEFT('FB Giornaliero'!$A$5:$A$278,7)=$A8)*'FB Giornaliero'!E$5:E$278)</f>
        <v>2</v>
      </c>
      <c r="F8" s="13" t="n">
        <f aca="false">SUMPRODUCT((LEFT('FB Giornaliero'!$A$5:$A$278,7)=$A8)*'FB Giornaliero'!F$5:F$278)</f>
        <v>1</v>
      </c>
      <c r="G8" s="13" t="n">
        <f aca="false">SUMPRODUCT((LEFT('FB Giornaliero'!$A$5:$A$278,7)=$A8)*'FB Giornaliero'!H$5:H$278)</f>
        <v>3</v>
      </c>
      <c r="H8" s="15" t="n">
        <f aca="false">IFERROR(D8/B8,0)</f>
        <v>0</v>
      </c>
    </row>
    <row r="9" customFormat="false" ht="15" hidden="false" customHeight="false" outlineLevel="0" collapsed="false">
      <c r="A9" s="4" t="s">
        <v>384</v>
      </c>
      <c r="B9" s="13" t="n">
        <f aca="false">SUMPRODUCT((LEFT('FB Giornaliero'!$A$5:$A$278,7)=$A9)*'FB Giornaliero'!B$5:B$278)</f>
        <v>1375</v>
      </c>
      <c r="C9" s="13" t="n">
        <f aca="false">SUMPRODUCT((LEFT('FB Giornaliero'!$A$5:$A$278,7)=$A9)*'FB Giornaliero'!C$5:C$278)</f>
        <v>214</v>
      </c>
      <c r="D9" s="13" t="n">
        <f aca="false">SUMPRODUCT((LEFT('FB Giornaliero'!$A$5:$A$278,7)=$A9)*'FB Giornaliero'!D$5:D$278)</f>
        <v>1161</v>
      </c>
      <c r="E9" s="13" t="n">
        <f aca="false">SUMPRODUCT((LEFT('FB Giornaliero'!$A$5:$A$278,7)=$A9)*'FB Giornaliero'!E$5:E$278)</f>
        <v>10</v>
      </c>
      <c r="F9" s="13" t="n">
        <f aca="false">SUMPRODUCT((LEFT('FB Giornaliero'!$A$5:$A$278,7)=$A9)*'FB Giornaliero'!F$5:F$278)</f>
        <v>0</v>
      </c>
      <c r="G9" s="13" t="n">
        <f aca="false">SUMPRODUCT((LEFT('FB Giornaliero'!$A$5:$A$278,7)=$A9)*'FB Giornaliero'!H$5:H$278)</f>
        <v>2</v>
      </c>
      <c r="H9" s="15" t="n">
        <f aca="false">IFERROR(D9/B9,0)</f>
        <v>0.844363636363636</v>
      </c>
    </row>
    <row r="10" customFormat="false" ht="15" hidden="false" customHeight="false" outlineLevel="0" collapsed="false">
      <c r="A10" s="4" t="s">
        <v>385</v>
      </c>
      <c r="B10" s="13" t="n">
        <f aca="false">SUMPRODUCT((LEFT('FB Giornaliero'!$A$5:$A$278,7)=$A10)*'FB Giornaliero'!B$5:B$278)</f>
        <v>359</v>
      </c>
      <c r="C10" s="13" t="n">
        <f aca="false">SUMPRODUCT((LEFT('FB Giornaliero'!$A$5:$A$278,7)=$A10)*'FB Giornaliero'!C$5:C$278)</f>
        <v>338</v>
      </c>
      <c r="D10" s="13" t="n">
        <f aca="false">SUMPRODUCT((LEFT('FB Giornaliero'!$A$5:$A$278,7)=$A10)*'FB Giornaliero'!D$5:D$278)</f>
        <v>21</v>
      </c>
      <c r="E10" s="13" t="n">
        <f aca="false">SUMPRODUCT((LEFT('FB Giornaliero'!$A$5:$A$278,7)=$A10)*'FB Giornaliero'!E$5:E$278)</f>
        <v>2</v>
      </c>
      <c r="F10" s="13" t="n">
        <f aca="false">SUMPRODUCT((LEFT('FB Giornaliero'!$A$5:$A$278,7)=$A10)*'FB Giornaliero'!F$5:F$278)</f>
        <v>1</v>
      </c>
      <c r="G10" s="13" t="n">
        <f aca="false">SUMPRODUCT((LEFT('FB Giornaliero'!$A$5:$A$278,7)=$A10)*'FB Giornaliero'!H$5:H$278)</f>
        <v>9</v>
      </c>
      <c r="H10" s="15" t="n">
        <f aca="false">IFERROR(D10/B10,0)</f>
        <v>0.0584958217270195</v>
      </c>
    </row>
    <row r="11" customFormat="false" ht="15" hidden="false" customHeight="false" outlineLevel="0" collapsed="false">
      <c r="A11" s="4" t="s">
        <v>386</v>
      </c>
      <c r="B11" s="13" t="n">
        <f aca="false">SUMPRODUCT((LEFT('FB Giornaliero'!$A$5:$A$278,7)=$A11)*'FB Giornaliero'!B$5:B$278)</f>
        <v>364</v>
      </c>
      <c r="C11" s="13" t="n">
        <f aca="false">SUMPRODUCT((LEFT('FB Giornaliero'!$A$5:$A$278,7)=$A11)*'FB Giornaliero'!C$5:C$278)</f>
        <v>276</v>
      </c>
      <c r="D11" s="13" t="n">
        <f aca="false">SUMPRODUCT((LEFT('FB Giornaliero'!$A$5:$A$278,7)=$A11)*'FB Giornaliero'!D$5:D$278)</f>
        <v>88</v>
      </c>
      <c r="E11" s="13" t="n">
        <f aca="false">SUMPRODUCT((LEFT('FB Giornaliero'!$A$5:$A$278,7)=$A11)*'FB Giornaliero'!E$5:E$278)</f>
        <v>8</v>
      </c>
      <c r="F11" s="13" t="n">
        <f aca="false">SUMPRODUCT((LEFT('FB Giornaliero'!$A$5:$A$278,7)=$A11)*'FB Giornaliero'!F$5:F$278)</f>
        <v>0</v>
      </c>
      <c r="G11" s="13" t="n">
        <f aca="false">SUMPRODUCT((LEFT('FB Giornaliero'!$A$5:$A$278,7)=$A11)*'FB Giornaliero'!H$5:H$278)</f>
        <v>13</v>
      </c>
      <c r="H11" s="15" t="n">
        <f aca="false">IFERROR(D11/B11,0)</f>
        <v>0.241758241758242</v>
      </c>
    </row>
    <row r="12" customFormat="false" ht="15" hidden="false" customHeight="false" outlineLevel="0" collapsed="false">
      <c r="A12" s="4" t="s">
        <v>387</v>
      </c>
      <c r="B12" s="13" t="n">
        <f aca="false">SUMPRODUCT((LEFT('FB Giornaliero'!$A$5:$A$278,7)=$A12)*'FB Giornaliero'!B$5:B$278)</f>
        <v>117</v>
      </c>
      <c r="C12" s="13" t="n">
        <f aca="false">SUMPRODUCT((LEFT('FB Giornaliero'!$A$5:$A$278,7)=$A12)*'FB Giornaliero'!C$5:C$278)</f>
        <v>24</v>
      </c>
      <c r="D12" s="13" t="n">
        <f aca="false">SUMPRODUCT((LEFT('FB Giornaliero'!$A$5:$A$278,7)=$A12)*'FB Giornaliero'!D$5:D$278)</f>
        <v>93</v>
      </c>
      <c r="E12" s="13" t="n">
        <f aca="false">SUMPRODUCT((LEFT('FB Giornaliero'!$A$5:$A$278,7)=$A12)*'FB Giornaliero'!E$5:E$278)</f>
        <v>4</v>
      </c>
      <c r="F12" s="13" t="n">
        <f aca="false">SUMPRODUCT((LEFT('FB Giornaliero'!$A$5:$A$278,7)=$A12)*'FB Giornaliero'!F$5:F$278)</f>
        <v>0</v>
      </c>
      <c r="G12" s="13" t="n">
        <f aca="false">SUMPRODUCT((LEFT('FB Giornaliero'!$A$5:$A$278,7)=$A12)*'FB Giornaliero'!H$5:H$278)</f>
        <v>3</v>
      </c>
      <c r="H12" s="15" t="n">
        <f aca="false">IFERROR(D12/B12,0)</f>
        <v>0.794871794871795</v>
      </c>
    </row>
    <row r="13" customFormat="false" ht="15" hidden="false" customHeight="false" outlineLevel="0" collapsed="false">
      <c r="A13" s="4" t="s">
        <v>388</v>
      </c>
      <c r="B13" s="13" t="n">
        <f aca="false">SUMPRODUCT((LEFT('FB Giornaliero'!$A$5:$A$278,7)=$A13)*'FB Giornaliero'!B$5:B$278)</f>
        <v>10825</v>
      </c>
      <c r="C13" s="13" t="n">
        <f aca="false">SUMPRODUCT((LEFT('FB Giornaliero'!$A$5:$A$278,7)=$A13)*'FB Giornaliero'!C$5:C$278)</f>
        <v>663</v>
      </c>
      <c r="D13" s="13" t="n">
        <f aca="false">SUMPRODUCT((LEFT('FB Giornaliero'!$A$5:$A$278,7)=$A13)*'FB Giornaliero'!D$5:D$278)</f>
        <v>10162</v>
      </c>
      <c r="E13" s="13" t="n">
        <f aca="false">SUMPRODUCT((LEFT('FB Giornaliero'!$A$5:$A$278,7)=$A13)*'FB Giornaliero'!E$5:E$278)</f>
        <v>314</v>
      </c>
      <c r="F13" s="13" t="n">
        <f aca="false">SUMPRODUCT((LEFT('FB Giornaliero'!$A$5:$A$278,7)=$A13)*'FB Giornaliero'!F$5:F$278)</f>
        <v>8</v>
      </c>
      <c r="G13" s="13" t="n">
        <f aca="false">SUMPRODUCT((LEFT('FB Giornaliero'!$A$5:$A$278,7)=$A13)*'FB Giornaliero'!H$5:H$278)</f>
        <v>937</v>
      </c>
      <c r="H13" s="15" t="n">
        <f aca="false">IFERROR(D13/B13,0)</f>
        <v>0.938752886836028</v>
      </c>
    </row>
    <row r="14" customFormat="false" ht="15" hidden="false" customHeight="false" outlineLevel="0" collapsed="false">
      <c r="A14" s="4" t="s">
        <v>389</v>
      </c>
      <c r="B14" s="13" t="n">
        <f aca="false">SUMPRODUCT((LEFT('FB Giornaliero'!$A$5:$A$278,7)=$A14)*'FB Giornaliero'!B$5:B$278)</f>
        <v>0</v>
      </c>
      <c r="C14" s="13" t="n">
        <f aca="false">SUMPRODUCT((LEFT('FB Giornaliero'!$A$5:$A$278,7)=$A14)*'FB Giornaliero'!C$5:C$278)</f>
        <v>0</v>
      </c>
      <c r="D14" s="13" t="n">
        <f aca="false">SUMPRODUCT((LEFT('FB Giornaliero'!$A$5:$A$278,7)=$A14)*'FB Giornaliero'!D$5:D$278)</f>
        <v>0</v>
      </c>
      <c r="E14" s="13" t="n">
        <f aca="false">SUMPRODUCT((LEFT('FB Giornaliero'!$A$5:$A$278,7)=$A14)*'FB Giornaliero'!E$5:E$278)</f>
        <v>0</v>
      </c>
      <c r="F14" s="13" t="n">
        <f aca="false">SUMPRODUCT((LEFT('FB Giornaliero'!$A$5:$A$278,7)=$A14)*'FB Giornaliero'!F$5:F$278)</f>
        <v>0</v>
      </c>
      <c r="G14" s="13" t="n">
        <f aca="false">SUMPRODUCT((LEFT('FB Giornaliero'!$A$5:$A$278,7)=$A14)*'FB Giornaliero'!H$5:H$278)</f>
        <v>2</v>
      </c>
      <c r="H14" s="15" t="n">
        <f aca="false">IFERROR(D14/B14,0)</f>
        <v>0</v>
      </c>
    </row>
    <row r="15" customFormat="false" ht="15" hidden="false" customHeight="false" outlineLevel="0" collapsed="false">
      <c r="A15" s="16" t="s">
        <v>47</v>
      </c>
      <c r="B15" s="18" t="n">
        <f aca="false">SUM(B5:B14)</f>
        <v>13387</v>
      </c>
      <c r="C15" s="18" t="n">
        <f aca="false">SUM(C5:C14)</f>
        <v>1862</v>
      </c>
      <c r="D15" s="18" t="n">
        <f aca="false">SUM(D5:D14)</f>
        <v>11525</v>
      </c>
      <c r="E15" s="18" t="n">
        <f aca="false">SUM(E5:E14)</f>
        <v>383</v>
      </c>
      <c r="F15" s="18" t="n">
        <f aca="false">SUM(F5:F14)</f>
        <v>19</v>
      </c>
      <c r="G15" s="18" t="n">
        <f aca="false">SUM(G5:G14)</f>
        <v>1021</v>
      </c>
      <c r="H15" s="20" t="n">
        <f aca="false">IFERROR(D15/B15,0)</f>
        <v>0.860909837902443</v>
      </c>
    </row>
  </sheetData>
  <autoFilter ref="A4:H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0"/>
    <col collapsed="false" customWidth="true" hidden="false" outlineLevel="0" max="9" min="4" style="0" width="14"/>
    <col collapsed="false" customWidth="true" hidden="false" outlineLevel="0" max="10" min="10" style="0" width="40"/>
  </cols>
  <sheetData>
    <row r="1" customFormat="false" ht="17.35" hidden="false" customHeight="false" outlineLevel="0" collapsed="false">
      <c r="A1" s="10" t="s">
        <v>390</v>
      </c>
    </row>
    <row r="2" customFormat="false" ht="15" hidden="false" customHeight="false" outlineLevel="0" collapsed="false">
      <c r="A2" s="2" t="s">
        <v>391</v>
      </c>
    </row>
    <row r="4" customFormat="false" ht="31.5" hidden="false" customHeight="true" outlineLevel="0" collapsed="false">
      <c r="A4" s="11" t="s">
        <v>51</v>
      </c>
      <c r="B4" s="11" t="s">
        <v>392</v>
      </c>
      <c r="C4" s="11" t="s">
        <v>393</v>
      </c>
      <c r="D4" s="11" t="s">
        <v>34</v>
      </c>
      <c r="E4" s="11" t="s">
        <v>394</v>
      </c>
      <c r="F4" s="11" t="s">
        <v>395</v>
      </c>
      <c r="G4" s="11" t="s">
        <v>396</v>
      </c>
      <c r="H4" s="11" t="s">
        <v>397</v>
      </c>
      <c r="I4" s="11" t="s">
        <v>398</v>
      </c>
      <c r="J4" s="11" t="s">
        <v>399</v>
      </c>
    </row>
    <row r="5" customFormat="false" ht="15" hidden="false" customHeight="false" outlineLevel="0" collapsed="false">
      <c r="A5" s="4" t="s">
        <v>245</v>
      </c>
      <c r="B5" s="4" t="s">
        <v>400</v>
      </c>
      <c r="C5" s="25"/>
      <c r="D5" s="13" t="n">
        <v>45</v>
      </c>
      <c r="E5" s="13" t="n">
        <v>4</v>
      </c>
      <c r="F5" s="13" t="n">
        <v>4</v>
      </c>
      <c r="G5" s="13" t="n">
        <v>0</v>
      </c>
      <c r="H5" s="13" t="n">
        <v>0</v>
      </c>
      <c r="I5" s="13" t="n">
        <v>4</v>
      </c>
      <c r="J5" s="4" t="s">
        <v>401</v>
      </c>
    </row>
    <row r="6" customFormat="false" ht="15" hidden="false" customHeight="false" outlineLevel="0" collapsed="false">
      <c r="A6" s="4" t="s">
        <v>245</v>
      </c>
      <c r="B6" s="4" t="s">
        <v>402</v>
      </c>
      <c r="C6" s="25"/>
      <c r="D6" s="13" t="n">
        <v>46</v>
      </c>
      <c r="E6" s="13" t="n">
        <v>0</v>
      </c>
      <c r="F6" s="13" t="n">
        <v>0</v>
      </c>
      <c r="G6" s="13" t="n">
        <v>0</v>
      </c>
      <c r="H6" s="13" t="n">
        <v>0</v>
      </c>
      <c r="I6" s="13" t="n">
        <v>0</v>
      </c>
      <c r="J6" s="4" t="s">
        <v>403</v>
      </c>
    </row>
    <row r="7" customFormat="false" ht="166.4" hidden="false" customHeight="false" outlineLevel="0" collapsed="false">
      <c r="A7" s="4" t="s">
        <v>246</v>
      </c>
      <c r="B7" s="4" t="s">
        <v>404</v>
      </c>
      <c r="C7" s="25" t="s">
        <v>405</v>
      </c>
      <c r="D7" s="13" t="n">
        <v>76</v>
      </c>
      <c r="E7" s="13" t="n">
        <v>4</v>
      </c>
      <c r="F7" s="13" t="n">
        <v>4</v>
      </c>
      <c r="G7" s="13" t="n">
        <v>0</v>
      </c>
      <c r="H7" s="13" t="n">
        <v>0</v>
      </c>
      <c r="I7" s="13" t="n">
        <v>2</v>
      </c>
      <c r="J7" s="4" t="s">
        <v>406</v>
      </c>
    </row>
    <row r="8" customFormat="false" ht="153.7" hidden="false" customHeight="false" outlineLevel="0" collapsed="false">
      <c r="A8" s="4" t="s">
        <v>250</v>
      </c>
      <c r="B8" s="4" t="s">
        <v>407</v>
      </c>
      <c r="C8" s="25" t="s">
        <v>408</v>
      </c>
      <c r="D8" s="13" t="n">
        <v>43</v>
      </c>
      <c r="E8" s="13" t="n">
        <v>6</v>
      </c>
      <c r="F8" s="13" t="n">
        <v>5</v>
      </c>
      <c r="G8" s="13" t="n">
        <v>0</v>
      </c>
      <c r="H8" s="13" t="n">
        <v>1</v>
      </c>
      <c r="I8" s="13" t="n">
        <v>0</v>
      </c>
      <c r="J8" s="4" t="s">
        <v>409</v>
      </c>
    </row>
    <row r="9" customFormat="false" ht="179.1" hidden="false" customHeight="false" outlineLevel="0" collapsed="false">
      <c r="A9" s="4" t="s">
        <v>252</v>
      </c>
      <c r="B9" s="4" t="s">
        <v>404</v>
      </c>
      <c r="C9" s="25" t="s">
        <v>410</v>
      </c>
      <c r="D9" s="13" t="n">
        <v>42</v>
      </c>
      <c r="E9" s="13" t="n">
        <v>6</v>
      </c>
      <c r="F9" s="13" t="n">
        <v>5</v>
      </c>
      <c r="G9" s="13" t="n">
        <v>0</v>
      </c>
      <c r="H9" s="13" t="n">
        <v>1</v>
      </c>
      <c r="I9" s="13" t="n">
        <v>0</v>
      </c>
      <c r="J9" s="4" t="s">
        <v>411</v>
      </c>
    </row>
    <row r="10" customFormat="false" ht="191.75" hidden="false" customHeight="false" outlineLevel="0" collapsed="false">
      <c r="A10" s="4" t="s">
        <v>254</v>
      </c>
      <c r="B10" s="4" t="s">
        <v>404</v>
      </c>
      <c r="C10" s="25" t="s">
        <v>412</v>
      </c>
      <c r="D10" s="13" t="n">
        <v>39</v>
      </c>
      <c r="E10" s="13" t="n">
        <v>6</v>
      </c>
      <c r="F10" s="13" t="n">
        <v>5</v>
      </c>
      <c r="G10" s="13" t="n">
        <v>0</v>
      </c>
      <c r="H10" s="13" t="n">
        <v>1</v>
      </c>
      <c r="I10" s="13" t="n">
        <v>0</v>
      </c>
      <c r="J10" s="4" t="s">
        <v>413</v>
      </c>
    </row>
    <row r="11" customFormat="false" ht="267.9" hidden="false" customHeight="false" outlineLevel="0" collapsed="false">
      <c r="A11" s="4" t="s">
        <v>257</v>
      </c>
      <c r="B11" s="4" t="s">
        <v>404</v>
      </c>
      <c r="C11" s="25" t="s">
        <v>414</v>
      </c>
      <c r="D11" s="13" t="n">
        <v>44</v>
      </c>
      <c r="E11" s="13" t="n">
        <v>5</v>
      </c>
      <c r="F11" s="13" t="n">
        <v>4</v>
      </c>
      <c r="G11" s="13" t="n">
        <v>0</v>
      </c>
      <c r="H11" s="13" t="n">
        <v>1</v>
      </c>
      <c r="I11" s="13" t="n">
        <v>0</v>
      </c>
      <c r="J11" s="4" t="s">
        <v>415</v>
      </c>
    </row>
    <row r="12" customFormat="false" ht="217.15" hidden="false" customHeight="false" outlineLevel="0" collapsed="false">
      <c r="A12" s="4" t="s">
        <v>260</v>
      </c>
      <c r="B12" s="4" t="s">
        <v>407</v>
      </c>
      <c r="C12" s="25" t="s">
        <v>416</v>
      </c>
      <c r="D12" s="13" t="n">
        <v>48</v>
      </c>
      <c r="E12" s="13" t="n">
        <v>3</v>
      </c>
      <c r="F12" s="13" t="n">
        <v>3</v>
      </c>
      <c r="G12" s="13" t="n">
        <v>0</v>
      </c>
      <c r="H12" s="13" t="n">
        <v>0</v>
      </c>
      <c r="I12" s="13" t="n">
        <v>1</v>
      </c>
      <c r="J12" s="4" t="s">
        <v>417</v>
      </c>
    </row>
    <row r="13" customFormat="false" ht="141" hidden="false" customHeight="false" outlineLevel="0" collapsed="false">
      <c r="A13" s="4" t="s">
        <v>293</v>
      </c>
      <c r="B13" s="4" t="s">
        <v>407</v>
      </c>
      <c r="C13" s="25" t="s">
        <v>418</v>
      </c>
      <c r="D13" s="13" t="n">
        <v>33</v>
      </c>
      <c r="E13" s="13" t="n">
        <v>2</v>
      </c>
      <c r="F13" s="13" t="n">
        <v>2</v>
      </c>
      <c r="G13" s="13" t="n">
        <v>0</v>
      </c>
      <c r="H13" s="13" t="n">
        <v>0</v>
      </c>
      <c r="I13" s="13" t="n">
        <v>0</v>
      </c>
      <c r="J13" s="4" t="s">
        <v>419</v>
      </c>
    </row>
    <row r="14" customFormat="false" ht="191.75" hidden="false" customHeight="false" outlineLevel="0" collapsed="false">
      <c r="A14" s="4" t="s">
        <v>301</v>
      </c>
      <c r="B14" s="4" t="s">
        <v>404</v>
      </c>
      <c r="C14" s="25" t="s">
        <v>420</v>
      </c>
      <c r="D14" s="13" t="n">
        <v>28</v>
      </c>
      <c r="E14" s="13" t="n">
        <v>1</v>
      </c>
      <c r="F14" s="13" t="n">
        <v>1</v>
      </c>
      <c r="G14" s="13" t="n">
        <v>0</v>
      </c>
      <c r="H14" s="13" t="n">
        <v>0</v>
      </c>
      <c r="I14" s="13" t="n">
        <v>0</v>
      </c>
      <c r="J14" s="4" t="s">
        <v>421</v>
      </c>
    </row>
    <row r="15" customFormat="false" ht="141" hidden="false" customHeight="false" outlineLevel="0" collapsed="false">
      <c r="A15" s="4" t="s">
        <v>308</v>
      </c>
      <c r="B15" s="4" t="s">
        <v>422</v>
      </c>
      <c r="C15" s="25" t="s">
        <v>423</v>
      </c>
      <c r="D15" s="13" t="n">
        <v>84</v>
      </c>
      <c r="E15" s="13" t="n">
        <v>0</v>
      </c>
      <c r="F15" s="13" t="n">
        <v>0</v>
      </c>
      <c r="G15" s="13" t="n">
        <v>0</v>
      </c>
      <c r="H15" s="13" t="n">
        <v>0</v>
      </c>
      <c r="I15" s="13" t="n">
        <v>0</v>
      </c>
      <c r="J15" s="4" t="s">
        <v>424</v>
      </c>
    </row>
    <row r="16" customFormat="false" ht="153.7" hidden="false" customHeight="false" outlineLevel="0" collapsed="false">
      <c r="A16" s="4" t="s">
        <v>329</v>
      </c>
      <c r="B16" s="4" t="s">
        <v>404</v>
      </c>
      <c r="C16" s="25" t="s">
        <v>425</v>
      </c>
      <c r="D16" s="13" t="n">
        <v>37</v>
      </c>
      <c r="E16" s="13" t="n">
        <v>0</v>
      </c>
      <c r="F16" s="13" t="n">
        <v>0</v>
      </c>
      <c r="G16" s="13" t="n">
        <v>0</v>
      </c>
      <c r="H16" s="13" t="n">
        <v>0</v>
      </c>
      <c r="I16" s="13" t="n">
        <v>0</v>
      </c>
      <c r="J16" s="4" t="s">
        <v>426</v>
      </c>
    </row>
    <row r="17" customFormat="false" ht="229.85" hidden="false" customHeight="false" outlineLevel="0" collapsed="false">
      <c r="A17" s="4" t="s">
        <v>343</v>
      </c>
      <c r="B17" s="4" t="s">
        <v>422</v>
      </c>
      <c r="C17" s="25" t="s">
        <v>427</v>
      </c>
      <c r="D17" s="13" t="n">
        <v>1407</v>
      </c>
      <c r="E17" s="13" t="n">
        <v>0</v>
      </c>
      <c r="F17" s="13" t="n">
        <v>0</v>
      </c>
      <c r="G17" s="13" t="n">
        <v>0</v>
      </c>
      <c r="H17" s="13" t="n">
        <v>0</v>
      </c>
      <c r="I17" s="13" t="n">
        <v>137</v>
      </c>
      <c r="J17" s="4" t="s">
        <v>428</v>
      </c>
    </row>
    <row r="18" customFormat="false" ht="217.15" hidden="false" customHeight="false" outlineLevel="0" collapsed="false">
      <c r="A18" s="4" t="s">
        <v>112</v>
      </c>
      <c r="B18" s="4" t="s">
        <v>404</v>
      </c>
      <c r="C18" s="25" t="s">
        <v>429</v>
      </c>
      <c r="D18" s="13" t="n">
        <v>26</v>
      </c>
      <c r="E18" s="13" t="n">
        <v>0</v>
      </c>
      <c r="F18" s="13" t="n">
        <v>0</v>
      </c>
      <c r="G18" s="13" t="n">
        <v>0</v>
      </c>
      <c r="H18" s="13" t="n">
        <v>0</v>
      </c>
      <c r="I18" s="13" t="n">
        <v>0</v>
      </c>
      <c r="J18" s="4" t="s">
        <v>430</v>
      </c>
    </row>
    <row r="19" customFormat="false" ht="204.45" hidden="false" customHeight="false" outlineLevel="0" collapsed="false">
      <c r="A19" s="4" t="s">
        <v>118</v>
      </c>
      <c r="B19" s="4" t="s">
        <v>404</v>
      </c>
      <c r="C19" s="25" t="s">
        <v>431</v>
      </c>
      <c r="D19" s="13" t="n">
        <v>35</v>
      </c>
      <c r="E19" s="13" t="n">
        <v>0</v>
      </c>
      <c r="F19" s="13" t="n">
        <v>0</v>
      </c>
      <c r="G19" s="13" t="n">
        <v>0</v>
      </c>
      <c r="H19" s="13" t="n">
        <v>0</v>
      </c>
      <c r="I19" s="13" t="n">
        <v>0</v>
      </c>
      <c r="J19" s="4" t="s">
        <v>432</v>
      </c>
    </row>
    <row r="20" customFormat="false" ht="141" hidden="false" customHeight="false" outlineLevel="0" collapsed="false">
      <c r="A20" s="4" t="s">
        <v>126</v>
      </c>
      <c r="B20" s="4" t="s">
        <v>422</v>
      </c>
      <c r="C20" s="25" t="s">
        <v>433</v>
      </c>
      <c r="D20" s="13" t="n">
        <v>384</v>
      </c>
      <c r="E20" s="13" t="n">
        <v>0</v>
      </c>
      <c r="F20" s="13" t="n">
        <v>0</v>
      </c>
      <c r="G20" s="13" t="n">
        <v>0</v>
      </c>
      <c r="H20" s="13" t="n">
        <v>0</v>
      </c>
      <c r="I20" s="13" t="n">
        <v>38</v>
      </c>
      <c r="J20" s="4" t="s">
        <v>434</v>
      </c>
    </row>
    <row r="21" customFormat="false" ht="204.45" hidden="false" customHeight="false" outlineLevel="0" collapsed="false">
      <c r="A21" s="4" t="s">
        <v>346</v>
      </c>
      <c r="B21" s="4" t="s">
        <v>404</v>
      </c>
      <c r="C21" s="25" t="s">
        <v>435</v>
      </c>
      <c r="D21" s="13" t="n">
        <v>33</v>
      </c>
      <c r="E21" s="13" t="n">
        <v>0</v>
      </c>
      <c r="F21" s="13" t="n">
        <v>0</v>
      </c>
      <c r="G21" s="13" t="n">
        <v>0</v>
      </c>
      <c r="H21" s="13" t="n">
        <v>0</v>
      </c>
      <c r="I21" s="13" t="n">
        <v>0</v>
      </c>
      <c r="J21" s="4" t="s">
        <v>436</v>
      </c>
    </row>
    <row r="22" customFormat="false" ht="191.75" hidden="false" customHeight="false" outlineLevel="0" collapsed="false">
      <c r="A22" s="4" t="s">
        <v>139</v>
      </c>
      <c r="B22" s="4" t="s">
        <v>404</v>
      </c>
      <c r="C22" s="25" t="s">
        <v>437</v>
      </c>
      <c r="D22" s="13" t="n">
        <v>29</v>
      </c>
      <c r="E22" s="13" t="n">
        <v>1</v>
      </c>
      <c r="F22" s="13" t="n">
        <v>1</v>
      </c>
      <c r="G22" s="13" t="n">
        <v>0</v>
      </c>
      <c r="H22" s="13" t="n">
        <v>0</v>
      </c>
      <c r="I22" s="13" t="n">
        <v>0</v>
      </c>
      <c r="J22" s="4" t="s">
        <v>438</v>
      </c>
    </row>
    <row r="23" customFormat="false" ht="102.95" hidden="false" customHeight="false" outlineLevel="0" collapsed="false">
      <c r="A23" s="4" t="s">
        <v>146</v>
      </c>
      <c r="B23" s="4" t="s">
        <v>422</v>
      </c>
      <c r="C23" s="25" t="s">
        <v>439</v>
      </c>
      <c r="D23" s="13" t="n">
        <v>345</v>
      </c>
      <c r="E23" s="13" t="n">
        <v>0</v>
      </c>
      <c r="F23" s="13" t="n">
        <v>0</v>
      </c>
      <c r="G23" s="13" t="n">
        <v>0</v>
      </c>
      <c r="H23" s="13" t="n">
        <v>0</v>
      </c>
      <c r="I23" s="13" t="n">
        <v>3</v>
      </c>
      <c r="J23" s="4" t="s">
        <v>440</v>
      </c>
    </row>
    <row r="24" customFormat="false" ht="204.45" hidden="false" customHeight="false" outlineLevel="0" collapsed="false">
      <c r="A24" s="4" t="s">
        <v>153</v>
      </c>
      <c r="B24" s="4" t="s">
        <v>404</v>
      </c>
      <c r="C24" s="25" t="s">
        <v>441</v>
      </c>
      <c r="D24" s="13" t="n">
        <v>47</v>
      </c>
      <c r="E24" s="13" t="n">
        <v>1</v>
      </c>
      <c r="F24" s="13" t="n">
        <v>1</v>
      </c>
      <c r="G24" s="13" t="n">
        <v>0</v>
      </c>
      <c r="H24" s="13" t="n">
        <v>0</v>
      </c>
      <c r="I24" s="13" t="n">
        <v>0</v>
      </c>
      <c r="J24" s="4" t="s">
        <v>442</v>
      </c>
    </row>
    <row r="25" customFormat="false" ht="191.75" hidden="false" customHeight="false" outlineLevel="0" collapsed="false">
      <c r="A25" s="4" t="s">
        <v>355</v>
      </c>
      <c r="B25" s="4" t="s">
        <v>404</v>
      </c>
      <c r="C25" s="25" t="s">
        <v>443</v>
      </c>
      <c r="D25" s="13" t="n">
        <v>50</v>
      </c>
      <c r="E25" s="13" t="n">
        <v>0</v>
      </c>
      <c r="F25" s="13" t="n">
        <v>0</v>
      </c>
      <c r="G25" s="13" t="n">
        <v>0</v>
      </c>
      <c r="H25" s="13" t="n">
        <v>0</v>
      </c>
      <c r="I25" s="13" t="n">
        <v>0</v>
      </c>
      <c r="J25" s="4" t="s">
        <v>444</v>
      </c>
    </row>
    <row r="26" customFormat="false" ht="153.7" hidden="false" customHeight="false" outlineLevel="0" collapsed="false">
      <c r="A26" s="4" t="s">
        <v>362</v>
      </c>
      <c r="B26" s="4" t="s">
        <v>404</v>
      </c>
      <c r="C26" s="25" t="s">
        <v>445</v>
      </c>
      <c r="D26" s="13" t="n">
        <v>49</v>
      </c>
      <c r="E26" s="13" t="n">
        <v>0</v>
      </c>
      <c r="F26" s="13" t="n">
        <v>0</v>
      </c>
      <c r="G26" s="13" t="n">
        <v>0</v>
      </c>
      <c r="H26" s="13" t="n">
        <v>0</v>
      </c>
      <c r="I26" s="13" t="n">
        <v>0</v>
      </c>
      <c r="J26" s="4" t="s">
        <v>446</v>
      </c>
    </row>
    <row r="27" customFormat="false" ht="166.4" hidden="false" customHeight="false" outlineLevel="0" collapsed="false">
      <c r="A27" s="4" t="s">
        <v>369</v>
      </c>
      <c r="B27" s="4" t="s">
        <v>404</v>
      </c>
      <c r="C27" s="25" t="s">
        <v>447</v>
      </c>
      <c r="D27" s="13" t="n">
        <v>58</v>
      </c>
      <c r="E27" s="13" t="n">
        <v>0</v>
      </c>
      <c r="F27" s="13" t="n">
        <v>0</v>
      </c>
      <c r="G27" s="13" t="n">
        <v>0</v>
      </c>
      <c r="H27" s="13" t="n">
        <v>0</v>
      </c>
      <c r="I27" s="13" t="n">
        <v>0</v>
      </c>
      <c r="J27" s="4" t="s">
        <v>448</v>
      </c>
    </row>
    <row r="28" customFormat="false" ht="141" hidden="false" customHeight="false" outlineLevel="0" collapsed="false">
      <c r="A28" s="4" t="s">
        <v>376</v>
      </c>
      <c r="B28" s="4" t="s">
        <v>404</v>
      </c>
      <c r="C28" s="25" t="s">
        <v>449</v>
      </c>
      <c r="D28" s="13" t="n">
        <v>57</v>
      </c>
      <c r="E28" s="13" t="n">
        <v>0</v>
      </c>
      <c r="F28" s="13" t="n">
        <v>0</v>
      </c>
      <c r="G28" s="13" t="n">
        <v>0</v>
      </c>
      <c r="H28" s="13" t="n">
        <v>0</v>
      </c>
      <c r="I28" s="13" t="n">
        <v>0</v>
      </c>
      <c r="J28" s="4" t="s">
        <v>450</v>
      </c>
    </row>
    <row r="29" customFormat="false" ht="90.25" hidden="false" customHeight="false" outlineLevel="0" collapsed="false">
      <c r="A29" s="4" t="s">
        <v>161</v>
      </c>
      <c r="B29" s="4" t="s">
        <v>422</v>
      </c>
      <c r="C29" s="25" t="s">
        <v>451</v>
      </c>
      <c r="D29" s="13" t="n">
        <v>37</v>
      </c>
      <c r="E29" s="13" t="n">
        <v>0</v>
      </c>
      <c r="F29" s="13" t="n">
        <v>0</v>
      </c>
      <c r="G29" s="13" t="n">
        <v>0</v>
      </c>
      <c r="H29" s="13" t="n">
        <v>0</v>
      </c>
      <c r="I29" s="13" t="n">
        <v>0</v>
      </c>
      <c r="J29" s="4" t="s">
        <v>452</v>
      </c>
    </row>
    <row r="30" customFormat="false" ht="153.7" hidden="false" customHeight="false" outlineLevel="0" collapsed="false">
      <c r="A30" s="4" t="s">
        <v>170</v>
      </c>
      <c r="B30" s="4" t="s">
        <v>404</v>
      </c>
      <c r="C30" s="25" t="s">
        <v>453</v>
      </c>
      <c r="D30" s="13" t="n">
        <v>55</v>
      </c>
      <c r="E30" s="13" t="n">
        <v>1</v>
      </c>
      <c r="F30" s="13" t="n">
        <v>0</v>
      </c>
      <c r="G30" s="13" t="n">
        <v>0</v>
      </c>
      <c r="H30" s="13" t="n">
        <v>1</v>
      </c>
      <c r="I30" s="13" t="n">
        <v>0</v>
      </c>
      <c r="J30" s="4" t="s">
        <v>454</v>
      </c>
    </row>
    <row r="31" customFormat="false" ht="153.7" hidden="false" customHeight="false" outlineLevel="0" collapsed="false">
      <c r="A31" s="4" t="s">
        <v>176</v>
      </c>
      <c r="B31" s="4" t="s">
        <v>404</v>
      </c>
      <c r="C31" s="25" t="s">
        <v>455</v>
      </c>
      <c r="D31" s="13" t="n">
        <v>39</v>
      </c>
      <c r="E31" s="13" t="n">
        <v>0</v>
      </c>
      <c r="F31" s="13" t="n">
        <v>0</v>
      </c>
      <c r="G31" s="13" t="n">
        <v>0</v>
      </c>
      <c r="H31" s="13" t="n">
        <v>0</v>
      </c>
      <c r="I31" s="13" t="n">
        <v>0</v>
      </c>
      <c r="J31" s="4" t="s">
        <v>456</v>
      </c>
    </row>
    <row r="32" customFormat="false" ht="128.35" hidden="false" customHeight="false" outlineLevel="0" collapsed="false">
      <c r="A32" s="4" t="s">
        <v>182</v>
      </c>
      <c r="B32" s="4" t="s">
        <v>404</v>
      </c>
      <c r="C32" s="25" t="s">
        <v>457</v>
      </c>
      <c r="D32" s="13" t="n">
        <v>17</v>
      </c>
      <c r="E32" s="13" t="n">
        <v>0</v>
      </c>
      <c r="F32" s="13" t="n">
        <v>0</v>
      </c>
      <c r="G32" s="13" t="n">
        <v>0</v>
      </c>
      <c r="H32" s="13" t="n">
        <v>0</v>
      </c>
      <c r="I32" s="13" t="n">
        <v>0</v>
      </c>
      <c r="J32" s="4" t="s">
        <v>458</v>
      </c>
    </row>
    <row r="33" customFormat="false" ht="166.4" hidden="false" customHeight="false" outlineLevel="0" collapsed="false">
      <c r="A33" s="4" t="s">
        <v>189</v>
      </c>
      <c r="B33" s="4" t="s">
        <v>404</v>
      </c>
      <c r="C33" s="25" t="s">
        <v>459</v>
      </c>
      <c r="D33" s="13" t="n">
        <v>5</v>
      </c>
      <c r="E33" s="13" t="n">
        <v>0</v>
      </c>
      <c r="F33" s="13" t="n">
        <v>0</v>
      </c>
      <c r="G33" s="13" t="n">
        <v>0</v>
      </c>
      <c r="H33" s="13" t="n">
        <v>0</v>
      </c>
      <c r="I33" s="13" t="n">
        <v>0</v>
      </c>
      <c r="J33" s="4" t="s">
        <v>460</v>
      </c>
    </row>
  </sheetData>
  <autoFilter ref="A4:J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0" min="1" style="0" width="14"/>
  </cols>
  <sheetData>
    <row r="1" customFormat="false" ht="17.35" hidden="false" customHeight="false" outlineLevel="0" collapsed="false">
      <c r="A1" s="10" t="s">
        <v>461</v>
      </c>
    </row>
    <row r="2" customFormat="false" ht="15" hidden="false" customHeight="false" outlineLevel="0" collapsed="false">
      <c r="A2" s="2" t="s">
        <v>462</v>
      </c>
    </row>
    <row r="4" customFormat="false" ht="31.5" hidden="false" customHeight="true" outlineLevel="0" collapsed="false">
      <c r="A4" s="11" t="s">
        <v>51</v>
      </c>
      <c r="B4" s="11" t="s">
        <v>35</v>
      </c>
      <c r="C4" s="11" t="s">
        <v>12</v>
      </c>
      <c r="D4" s="11" t="s">
        <v>463</v>
      </c>
      <c r="E4" s="11" t="s">
        <v>13</v>
      </c>
      <c r="F4" s="11" t="s">
        <v>464</v>
      </c>
      <c r="G4" s="11" t="s">
        <v>396</v>
      </c>
      <c r="H4" s="11" t="s">
        <v>465</v>
      </c>
      <c r="I4" s="11" t="s">
        <v>397</v>
      </c>
      <c r="J4" s="11" t="s">
        <v>466</v>
      </c>
    </row>
    <row r="5" customFormat="false" ht="15" hidden="false" customHeight="false" outlineLevel="0" collapsed="false">
      <c r="A5" s="4" t="s">
        <v>197</v>
      </c>
      <c r="B5" s="13" t="n">
        <v>0</v>
      </c>
      <c r="C5" s="13" t="n">
        <v>0</v>
      </c>
      <c r="D5" s="13" t="n">
        <v>0</v>
      </c>
      <c r="E5" s="13" t="n">
        <v>0</v>
      </c>
      <c r="F5" s="13" t="n">
        <v>0</v>
      </c>
      <c r="G5" s="13" t="n">
        <v>0</v>
      </c>
      <c r="H5" s="13" t="n">
        <v>0</v>
      </c>
      <c r="I5" s="13" t="n">
        <v>0</v>
      </c>
      <c r="J5" s="13" t="n">
        <v>0</v>
      </c>
    </row>
    <row r="6" customFormat="false" ht="15" hidden="false" customHeight="false" outlineLevel="0" collapsed="false">
      <c r="A6" s="4" t="s">
        <v>198</v>
      </c>
      <c r="B6" s="13" t="n">
        <v>0</v>
      </c>
      <c r="C6" s="13" t="n">
        <v>0</v>
      </c>
      <c r="D6" s="13" t="n">
        <v>0</v>
      </c>
      <c r="E6" s="13" t="n">
        <v>0</v>
      </c>
      <c r="F6" s="13" t="n">
        <v>0</v>
      </c>
      <c r="G6" s="13" t="n">
        <v>0</v>
      </c>
      <c r="H6" s="13" t="n">
        <v>0</v>
      </c>
      <c r="I6" s="13" t="n">
        <v>0</v>
      </c>
      <c r="J6" s="13" t="n">
        <v>0</v>
      </c>
    </row>
    <row r="7" customFormat="false" ht="15" hidden="false" customHeight="false" outlineLevel="0" collapsed="false">
      <c r="A7" s="4" t="s">
        <v>199</v>
      </c>
      <c r="B7" s="13" t="n">
        <v>0</v>
      </c>
      <c r="C7" s="13" t="n">
        <v>0</v>
      </c>
      <c r="D7" s="13" t="n">
        <v>0</v>
      </c>
      <c r="E7" s="13" t="n">
        <v>0</v>
      </c>
      <c r="F7" s="13" t="n">
        <v>0</v>
      </c>
      <c r="G7" s="13" t="n">
        <v>0</v>
      </c>
      <c r="H7" s="13" t="n">
        <v>0</v>
      </c>
      <c r="I7" s="13" t="n">
        <v>0</v>
      </c>
      <c r="J7" s="13" t="n">
        <v>0</v>
      </c>
    </row>
    <row r="8" customFormat="false" ht="15" hidden="false" customHeight="false" outlineLevel="0" collapsed="false">
      <c r="A8" s="4" t="s">
        <v>200</v>
      </c>
      <c r="B8" s="13" t="n">
        <v>0</v>
      </c>
      <c r="C8" s="13" t="n">
        <v>0</v>
      </c>
      <c r="D8" s="13" t="n">
        <v>0</v>
      </c>
      <c r="E8" s="13" t="n">
        <v>0</v>
      </c>
      <c r="F8" s="13" t="n">
        <v>0</v>
      </c>
      <c r="G8" s="13" t="n">
        <v>0</v>
      </c>
      <c r="H8" s="13" t="n">
        <v>0</v>
      </c>
      <c r="I8" s="13" t="n">
        <v>0</v>
      </c>
      <c r="J8" s="13" t="n">
        <v>0</v>
      </c>
    </row>
    <row r="9" customFormat="false" ht="15" hidden="false" customHeight="false" outlineLevel="0" collapsed="false">
      <c r="A9" s="4" t="s">
        <v>201</v>
      </c>
      <c r="B9" s="13" t="n">
        <v>0</v>
      </c>
      <c r="C9" s="13" t="n">
        <v>0</v>
      </c>
      <c r="D9" s="13" t="n">
        <v>0</v>
      </c>
      <c r="E9" s="13" t="n">
        <v>0</v>
      </c>
      <c r="F9" s="13" t="n">
        <v>0</v>
      </c>
      <c r="G9" s="13" t="n">
        <v>0</v>
      </c>
      <c r="H9" s="13" t="n">
        <v>0</v>
      </c>
      <c r="I9" s="13" t="n">
        <v>0</v>
      </c>
      <c r="J9" s="13" t="n">
        <v>0</v>
      </c>
    </row>
    <row r="10" customFormat="false" ht="15" hidden="false" customHeight="false" outlineLevel="0" collapsed="false">
      <c r="A10" s="4" t="s">
        <v>202</v>
      </c>
      <c r="B10" s="13" t="n">
        <v>0</v>
      </c>
      <c r="C10" s="13" t="n">
        <v>0</v>
      </c>
      <c r="D10" s="13" t="n">
        <v>0</v>
      </c>
      <c r="E10" s="13" t="n">
        <v>0</v>
      </c>
      <c r="F10" s="13" t="n">
        <v>0</v>
      </c>
      <c r="G10" s="13" t="n">
        <v>0</v>
      </c>
      <c r="H10" s="13" t="n">
        <v>0</v>
      </c>
      <c r="I10" s="13" t="n">
        <v>0</v>
      </c>
      <c r="J10" s="13" t="n">
        <v>0</v>
      </c>
    </row>
    <row r="11" customFormat="false" ht="15" hidden="false" customHeight="false" outlineLevel="0" collapsed="false">
      <c r="A11" s="4" t="s">
        <v>203</v>
      </c>
      <c r="B11" s="13" t="n">
        <v>0</v>
      </c>
      <c r="C11" s="13" t="n">
        <v>0</v>
      </c>
      <c r="D11" s="13" t="n">
        <v>0</v>
      </c>
      <c r="E11" s="13" t="n">
        <v>0</v>
      </c>
      <c r="F11" s="13" t="n">
        <v>0</v>
      </c>
      <c r="G11" s="13" t="n">
        <v>0</v>
      </c>
      <c r="H11" s="13" t="n">
        <v>0</v>
      </c>
      <c r="I11" s="13" t="n">
        <v>0</v>
      </c>
      <c r="J11" s="13" t="n">
        <v>0</v>
      </c>
    </row>
    <row r="12" customFormat="false" ht="15" hidden="false" customHeight="false" outlineLevel="0" collapsed="false">
      <c r="A12" s="4" t="s">
        <v>204</v>
      </c>
      <c r="B12" s="13" t="n">
        <v>0</v>
      </c>
      <c r="C12" s="13" t="n">
        <v>0</v>
      </c>
      <c r="D12" s="13" t="n">
        <v>0</v>
      </c>
      <c r="E12" s="13" t="n">
        <v>0</v>
      </c>
      <c r="F12" s="13" t="n">
        <v>0</v>
      </c>
      <c r="G12" s="13" t="n">
        <v>0</v>
      </c>
      <c r="H12" s="13" t="n">
        <v>0</v>
      </c>
      <c r="I12" s="13" t="n">
        <v>0</v>
      </c>
      <c r="J12" s="13" t="n">
        <v>0</v>
      </c>
    </row>
    <row r="13" customFormat="false" ht="15" hidden="false" customHeight="false" outlineLevel="0" collapsed="false">
      <c r="A13" s="4" t="s">
        <v>205</v>
      </c>
      <c r="B13" s="13" t="n">
        <v>0</v>
      </c>
      <c r="C13" s="13" t="n">
        <v>0</v>
      </c>
      <c r="D13" s="13" t="n">
        <v>0</v>
      </c>
      <c r="E13" s="13" t="n">
        <v>0</v>
      </c>
      <c r="F13" s="13" t="n">
        <v>0</v>
      </c>
      <c r="G13" s="13" t="n">
        <v>0</v>
      </c>
      <c r="H13" s="13" t="n">
        <v>0</v>
      </c>
      <c r="I13" s="13" t="n">
        <v>0</v>
      </c>
      <c r="J13" s="13" t="n">
        <v>0</v>
      </c>
    </row>
    <row r="14" customFormat="false" ht="15" hidden="false" customHeight="false" outlineLevel="0" collapsed="false">
      <c r="A14" s="4" t="s">
        <v>206</v>
      </c>
      <c r="B14" s="13" t="n">
        <v>0</v>
      </c>
      <c r="C14" s="13" t="n">
        <v>0</v>
      </c>
      <c r="D14" s="13" t="n">
        <v>0</v>
      </c>
      <c r="E14" s="13" t="n">
        <v>0</v>
      </c>
      <c r="F14" s="13" t="n">
        <v>0</v>
      </c>
      <c r="G14" s="13" t="n">
        <v>0</v>
      </c>
      <c r="H14" s="13" t="n">
        <v>0</v>
      </c>
      <c r="I14" s="13" t="n">
        <v>0</v>
      </c>
      <c r="J14" s="13" t="n">
        <v>0</v>
      </c>
    </row>
    <row r="15" customFormat="false" ht="15" hidden="false" customHeight="false" outlineLevel="0" collapsed="false">
      <c r="A15" s="4" t="s">
        <v>207</v>
      </c>
      <c r="B15" s="13" t="n">
        <v>0</v>
      </c>
      <c r="C15" s="13" t="n">
        <v>0</v>
      </c>
      <c r="D15" s="13" t="n">
        <v>0</v>
      </c>
      <c r="E15" s="13" t="n">
        <v>0</v>
      </c>
      <c r="F15" s="13" t="n">
        <v>0</v>
      </c>
      <c r="G15" s="13" t="n">
        <v>0</v>
      </c>
      <c r="H15" s="13" t="n">
        <v>0</v>
      </c>
      <c r="I15" s="13" t="n">
        <v>0</v>
      </c>
      <c r="J15" s="13" t="n">
        <v>0</v>
      </c>
    </row>
    <row r="16" customFormat="false" ht="15" hidden="false" customHeight="false" outlineLevel="0" collapsed="false">
      <c r="A16" s="4" t="s">
        <v>208</v>
      </c>
      <c r="B16" s="13" t="n">
        <v>0</v>
      </c>
      <c r="C16" s="13" t="n">
        <v>0</v>
      </c>
      <c r="D16" s="13" t="n">
        <v>0</v>
      </c>
      <c r="E16" s="13" t="n">
        <v>0</v>
      </c>
      <c r="F16" s="13" t="n">
        <v>0</v>
      </c>
      <c r="G16" s="13" t="n">
        <v>0</v>
      </c>
      <c r="H16" s="13" t="n">
        <v>0</v>
      </c>
      <c r="I16" s="13" t="n">
        <v>0</v>
      </c>
      <c r="J16" s="13" t="n">
        <v>0</v>
      </c>
    </row>
    <row r="17" customFormat="false" ht="15" hidden="false" customHeight="false" outlineLevel="0" collapsed="false">
      <c r="A17" s="4" t="s">
        <v>209</v>
      </c>
      <c r="B17" s="13" t="n">
        <v>0</v>
      </c>
      <c r="C17" s="13" t="n">
        <v>0</v>
      </c>
      <c r="D17" s="13" t="n">
        <v>0</v>
      </c>
      <c r="E17" s="13" t="n">
        <v>0</v>
      </c>
      <c r="F17" s="13" t="n">
        <v>0</v>
      </c>
      <c r="G17" s="13" t="n">
        <v>0</v>
      </c>
      <c r="H17" s="13" t="n">
        <v>0</v>
      </c>
      <c r="I17" s="13" t="n">
        <v>0</v>
      </c>
      <c r="J17" s="13" t="n">
        <v>0</v>
      </c>
    </row>
    <row r="18" customFormat="false" ht="15" hidden="false" customHeight="false" outlineLevel="0" collapsed="false">
      <c r="A18" s="4" t="s">
        <v>210</v>
      </c>
      <c r="B18" s="13" t="n">
        <v>0</v>
      </c>
      <c r="C18" s="13" t="n">
        <v>0</v>
      </c>
      <c r="D18" s="13" t="n">
        <v>0</v>
      </c>
      <c r="E18" s="13" t="n">
        <v>0</v>
      </c>
      <c r="F18" s="13" t="n">
        <v>0</v>
      </c>
      <c r="G18" s="13" t="n">
        <v>0</v>
      </c>
      <c r="H18" s="13" t="n">
        <v>0</v>
      </c>
      <c r="I18" s="13" t="n">
        <v>0</v>
      </c>
      <c r="J18" s="13" t="n">
        <v>0</v>
      </c>
    </row>
    <row r="19" customFormat="false" ht="15" hidden="false" customHeight="false" outlineLevel="0" collapsed="false">
      <c r="A19" s="4" t="s">
        <v>211</v>
      </c>
      <c r="B19" s="13" t="n">
        <v>0</v>
      </c>
      <c r="C19" s="13" t="n">
        <v>0</v>
      </c>
      <c r="D19" s="13" t="n">
        <v>0</v>
      </c>
      <c r="E19" s="13" t="n">
        <v>0</v>
      </c>
      <c r="F19" s="13" t="n">
        <v>0</v>
      </c>
      <c r="G19" s="13" t="n">
        <v>0</v>
      </c>
      <c r="H19" s="13" t="n">
        <v>0</v>
      </c>
      <c r="I19" s="13" t="n">
        <v>0</v>
      </c>
      <c r="J19" s="13" t="n">
        <v>0</v>
      </c>
    </row>
    <row r="20" customFormat="false" ht="15" hidden="false" customHeight="false" outlineLevel="0" collapsed="false">
      <c r="A20" s="4" t="s">
        <v>212</v>
      </c>
      <c r="B20" s="13" t="n">
        <v>0</v>
      </c>
      <c r="C20" s="13" t="n">
        <v>0</v>
      </c>
      <c r="D20" s="13" t="n">
        <v>0</v>
      </c>
      <c r="E20" s="13" t="n">
        <v>0</v>
      </c>
      <c r="F20" s="13" t="n">
        <v>0</v>
      </c>
      <c r="G20" s="13" t="n">
        <v>0</v>
      </c>
      <c r="H20" s="13" t="n">
        <v>0</v>
      </c>
      <c r="I20" s="13" t="n">
        <v>0</v>
      </c>
      <c r="J20" s="13" t="n">
        <v>0</v>
      </c>
    </row>
    <row r="21" customFormat="false" ht="15" hidden="false" customHeight="false" outlineLevel="0" collapsed="false">
      <c r="A21" s="4" t="s">
        <v>213</v>
      </c>
      <c r="B21" s="13" t="n">
        <v>0</v>
      </c>
      <c r="C21" s="13" t="n">
        <v>0</v>
      </c>
      <c r="D21" s="13" t="n">
        <v>0</v>
      </c>
      <c r="E21" s="13" t="n">
        <v>0</v>
      </c>
      <c r="F21" s="13" t="n">
        <v>0</v>
      </c>
      <c r="G21" s="13" t="n">
        <v>0</v>
      </c>
      <c r="H21" s="13" t="n">
        <v>0</v>
      </c>
      <c r="I21" s="13" t="n">
        <v>0</v>
      </c>
      <c r="J21" s="13" t="n">
        <v>0</v>
      </c>
    </row>
    <row r="22" customFormat="false" ht="15" hidden="false" customHeight="false" outlineLevel="0" collapsed="false">
      <c r="A22" s="4" t="s">
        <v>214</v>
      </c>
      <c r="B22" s="13" t="n">
        <v>0</v>
      </c>
      <c r="C22" s="13" t="n">
        <v>0</v>
      </c>
      <c r="D22" s="13" t="n">
        <v>0</v>
      </c>
      <c r="E22" s="13" t="n">
        <v>0</v>
      </c>
      <c r="F22" s="13" t="n">
        <v>0</v>
      </c>
      <c r="G22" s="13" t="n">
        <v>0</v>
      </c>
      <c r="H22" s="13" t="n">
        <v>0</v>
      </c>
      <c r="I22" s="13" t="n">
        <v>0</v>
      </c>
      <c r="J22" s="13" t="n">
        <v>0</v>
      </c>
    </row>
    <row r="23" customFormat="false" ht="15" hidden="false" customHeight="false" outlineLevel="0" collapsed="false">
      <c r="A23" s="4" t="s">
        <v>215</v>
      </c>
      <c r="B23" s="13" t="n">
        <v>0</v>
      </c>
      <c r="C23" s="13" t="n">
        <v>0</v>
      </c>
      <c r="D23" s="13" t="n">
        <v>0</v>
      </c>
      <c r="E23" s="13" t="n">
        <v>0</v>
      </c>
      <c r="F23" s="13" t="n">
        <v>0</v>
      </c>
      <c r="G23" s="13" t="n">
        <v>0</v>
      </c>
      <c r="H23" s="13" t="n">
        <v>0</v>
      </c>
      <c r="I23" s="13" t="n">
        <v>0</v>
      </c>
      <c r="J23" s="13" t="n">
        <v>0</v>
      </c>
    </row>
    <row r="24" customFormat="false" ht="15" hidden="false" customHeight="false" outlineLevel="0" collapsed="false">
      <c r="A24" s="4" t="s">
        <v>216</v>
      </c>
      <c r="B24" s="13" t="n">
        <v>0</v>
      </c>
      <c r="C24" s="13" t="n">
        <v>0</v>
      </c>
      <c r="D24" s="13" t="n">
        <v>0</v>
      </c>
      <c r="E24" s="13" t="n">
        <v>0</v>
      </c>
      <c r="F24" s="13" t="n">
        <v>0</v>
      </c>
      <c r="G24" s="13" t="n">
        <v>0</v>
      </c>
      <c r="H24" s="13" t="n">
        <v>0</v>
      </c>
      <c r="I24" s="13" t="n">
        <v>0</v>
      </c>
      <c r="J24" s="13" t="n">
        <v>0</v>
      </c>
    </row>
    <row r="25" customFormat="false" ht="15" hidden="false" customHeight="false" outlineLevel="0" collapsed="false">
      <c r="A25" s="4" t="s">
        <v>217</v>
      </c>
      <c r="B25" s="13" t="n">
        <v>0</v>
      </c>
      <c r="C25" s="13" t="n">
        <v>0</v>
      </c>
      <c r="D25" s="13" t="n">
        <v>0</v>
      </c>
      <c r="E25" s="13" t="n">
        <v>0</v>
      </c>
      <c r="F25" s="13" t="n">
        <v>0</v>
      </c>
      <c r="G25" s="13" t="n">
        <v>0</v>
      </c>
      <c r="H25" s="13" t="n">
        <v>0</v>
      </c>
      <c r="I25" s="13" t="n">
        <v>0</v>
      </c>
      <c r="J25" s="13" t="n">
        <v>0</v>
      </c>
    </row>
    <row r="26" customFormat="false" ht="15" hidden="false" customHeight="false" outlineLevel="0" collapsed="false">
      <c r="A26" s="4" t="s">
        <v>218</v>
      </c>
      <c r="B26" s="13" t="n">
        <v>0</v>
      </c>
      <c r="C26" s="13" t="n">
        <v>0</v>
      </c>
      <c r="D26" s="13" t="n">
        <v>0</v>
      </c>
      <c r="E26" s="13" t="n">
        <v>0</v>
      </c>
      <c r="F26" s="13" t="n">
        <v>0</v>
      </c>
      <c r="G26" s="13" t="n">
        <v>0</v>
      </c>
      <c r="H26" s="13" t="n">
        <v>0</v>
      </c>
      <c r="I26" s="13" t="n">
        <v>0</v>
      </c>
      <c r="J26" s="13" t="n">
        <v>0</v>
      </c>
    </row>
    <row r="27" customFormat="false" ht="15" hidden="false" customHeight="false" outlineLevel="0" collapsed="false">
      <c r="A27" s="4" t="s">
        <v>219</v>
      </c>
      <c r="B27" s="13" t="n">
        <v>0</v>
      </c>
      <c r="C27" s="13" t="n">
        <v>0</v>
      </c>
      <c r="D27" s="13" t="n">
        <v>0</v>
      </c>
      <c r="E27" s="13" t="n">
        <v>0</v>
      </c>
      <c r="F27" s="13" t="n">
        <v>0</v>
      </c>
      <c r="G27" s="13" t="n">
        <v>0</v>
      </c>
      <c r="H27" s="13" t="n">
        <v>0</v>
      </c>
      <c r="I27" s="13" t="n">
        <v>0</v>
      </c>
      <c r="J27" s="13" t="n">
        <v>0</v>
      </c>
    </row>
    <row r="28" customFormat="false" ht="15" hidden="false" customHeight="false" outlineLevel="0" collapsed="false">
      <c r="A28" s="4" t="s">
        <v>220</v>
      </c>
      <c r="B28" s="13" t="n">
        <v>0</v>
      </c>
      <c r="C28" s="13" t="n">
        <v>0</v>
      </c>
      <c r="D28" s="13" t="n">
        <v>0</v>
      </c>
      <c r="E28" s="13" t="n">
        <v>0</v>
      </c>
      <c r="F28" s="13" t="n">
        <v>0</v>
      </c>
      <c r="G28" s="13" t="n">
        <v>0</v>
      </c>
      <c r="H28" s="13" t="n">
        <v>0</v>
      </c>
      <c r="I28" s="13" t="n">
        <v>0</v>
      </c>
      <c r="J28" s="13" t="n">
        <v>0</v>
      </c>
    </row>
    <row r="29" customFormat="false" ht="15" hidden="false" customHeight="false" outlineLevel="0" collapsed="false">
      <c r="A29" s="4" t="s">
        <v>221</v>
      </c>
      <c r="B29" s="13" t="n">
        <v>0</v>
      </c>
      <c r="C29" s="13" t="n">
        <v>0</v>
      </c>
      <c r="D29" s="13" t="n">
        <v>0</v>
      </c>
      <c r="E29" s="13" t="n">
        <v>0</v>
      </c>
      <c r="F29" s="13" t="n">
        <v>0</v>
      </c>
      <c r="G29" s="13" t="n">
        <v>0</v>
      </c>
      <c r="H29" s="13" t="n">
        <v>0</v>
      </c>
      <c r="I29" s="13" t="n">
        <v>0</v>
      </c>
      <c r="J29" s="13" t="n">
        <v>0</v>
      </c>
    </row>
    <row r="30" customFormat="false" ht="15" hidden="false" customHeight="false" outlineLevel="0" collapsed="false">
      <c r="A30" s="4" t="s">
        <v>222</v>
      </c>
      <c r="B30" s="13" t="n">
        <v>0</v>
      </c>
      <c r="C30" s="13" t="n">
        <v>0</v>
      </c>
      <c r="D30" s="13" t="n">
        <v>0</v>
      </c>
      <c r="E30" s="13" t="n">
        <v>0</v>
      </c>
      <c r="F30" s="13" t="n">
        <v>0</v>
      </c>
      <c r="G30" s="13" t="n">
        <v>0</v>
      </c>
      <c r="H30" s="13" t="n">
        <v>0</v>
      </c>
      <c r="I30" s="13" t="n">
        <v>0</v>
      </c>
      <c r="J30" s="13" t="n">
        <v>0</v>
      </c>
    </row>
    <row r="31" customFormat="false" ht="15" hidden="false" customHeight="false" outlineLevel="0" collapsed="false">
      <c r="A31" s="4" t="s">
        <v>223</v>
      </c>
      <c r="B31" s="13" t="n">
        <v>0</v>
      </c>
      <c r="C31" s="13" t="n">
        <v>0</v>
      </c>
      <c r="D31" s="13" t="n">
        <v>0</v>
      </c>
      <c r="E31" s="13" t="n">
        <v>0</v>
      </c>
      <c r="F31" s="13" t="n">
        <v>0</v>
      </c>
      <c r="G31" s="13" t="n">
        <v>0</v>
      </c>
      <c r="H31" s="13" t="n">
        <v>0</v>
      </c>
      <c r="I31" s="13" t="n">
        <v>0</v>
      </c>
      <c r="J31" s="13" t="n">
        <v>0</v>
      </c>
    </row>
    <row r="32" customFormat="false" ht="15" hidden="false" customHeight="false" outlineLevel="0" collapsed="false">
      <c r="A32" s="4" t="s">
        <v>224</v>
      </c>
      <c r="B32" s="13" t="n">
        <v>0</v>
      </c>
      <c r="C32" s="13" t="n">
        <v>0</v>
      </c>
      <c r="D32" s="13" t="n">
        <v>0</v>
      </c>
      <c r="E32" s="13" t="n">
        <v>0</v>
      </c>
      <c r="F32" s="13" t="n">
        <v>0</v>
      </c>
      <c r="G32" s="13" t="n">
        <v>0</v>
      </c>
      <c r="H32" s="13" t="n">
        <v>0</v>
      </c>
      <c r="I32" s="13" t="n">
        <v>0</v>
      </c>
      <c r="J32" s="13" t="n">
        <v>0</v>
      </c>
    </row>
    <row r="33" customFormat="false" ht="15" hidden="false" customHeight="false" outlineLevel="0" collapsed="false">
      <c r="A33" s="4" t="s">
        <v>225</v>
      </c>
      <c r="B33" s="13" t="n">
        <v>0</v>
      </c>
      <c r="C33" s="13" t="n">
        <v>0</v>
      </c>
      <c r="D33" s="13" t="n">
        <v>0</v>
      </c>
      <c r="E33" s="13" t="n">
        <v>0</v>
      </c>
      <c r="F33" s="13" t="n">
        <v>0</v>
      </c>
      <c r="G33" s="13" t="n">
        <v>0</v>
      </c>
      <c r="H33" s="13" t="n">
        <v>0</v>
      </c>
      <c r="I33" s="13" t="n">
        <v>0</v>
      </c>
      <c r="J33" s="13" t="n">
        <v>0</v>
      </c>
    </row>
    <row r="34" customFormat="false" ht="15" hidden="false" customHeight="false" outlineLevel="0" collapsed="false">
      <c r="A34" s="4" t="s">
        <v>226</v>
      </c>
      <c r="B34" s="13" t="n">
        <v>0</v>
      </c>
      <c r="C34" s="13" t="n">
        <v>0</v>
      </c>
      <c r="D34" s="13" t="n">
        <v>0</v>
      </c>
      <c r="E34" s="13" t="n">
        <v>0</v>
      </c>
      <c r="F34" s="13" t="n">
        <v>0</v>
      </c>
      <c r="G34" s="13" t="n">
        <v>0</v>
      </c>
      <c r="H34" s="13" t="n">
        <v>0</v>
      </c>
      <c r="I34" s="13" t="n">
        <v>0</v>
      </c>
      <c r="J34" s="13" t="n">
        <v>0</v>
      </c>
    </row>
    <row r="35" customFormat="false" ht="15" hidden="false" customHeight="false" outlineLevel="0" collapsed="false">
      <c r="A35" s="4" t="s">
        <v>227</v>
      </c>
      <c r="B35" s="13" t="n">
        <v>0</v>
      </c>
      <c r="C35" s="13" t="n">
        <v>0</v>
      </c>
      <c r="D35" s="13" t="n">
        <v>0</v>
      </c>
      <c r="E35" s="13" t="n">
        <v>0</v>
      </c>
      <c r="F35" s="13" t="n">
        <v>0</v>
      </c>
      <c r="G35" s="13" t="n">
        <v>0</v>
      </c>
      <c r="H35" s="13" t="n">
        <v>0</v>
      </c>
      <c r="I35" s="13" t="n">
        <v>0</v>
      </c>
      <c r="J35" s="13" t="n">
        <v>0</v>
      </c>
    </row>
    <row r="36" customFormat="false" ht="15" hidden="false" customHeight="false" outlineLevel="0" collapsed="false">
      <c r="A36" s="4" t="s">
        <v>228</v>
      </c>
      <c r="B36" s="13" t="n">
        <v>0</v>
      </c>
      <c r="C36" s="13" t="n">
        <v>0</v>
      </c>
      <c r="D36" s="13" t="n">
        <v>0</v>
      </c>
      <c r="E36" s="13" t="n">
        <v>0</v>
      </c>
      <c r="F36" s="13" t="n">
        <v>0</v>
      </c>
      <c r="G36" s="13" t="n">
        <v>0</v>
      </c>
      <c r="H36" s="13" t="n">
        <v>0</v>
      </c>
      <c r="I36" s="13" t="n">
        <v>0</v>
      </c>
      <c r="J36" s="13" t="n">
        <v>0</v>
      </c>
    </row>
    <row r="37" customFormat="false" ht="15" hidden="false" customHeight="false" outlineLevel="0" collapsed="false">
      <c r="A37" s="4" t="s">
        <v>229</v>
      </c>
      <c r="B37" s="13" t="n">
        <v>0</v>
      </c>
      <c r="C37" s="13" t="n">
        <v>0</v>
      </c>
      <c r="D37" s="13" t="n">
        <v>0</v>
      </c>
      <c r="E37" s="13" t="n">
        <v>0</v>
      </c>
      <c r="F37" s="13" t="n">
        <v>0</v>
      </c>
      <c r="G37" s="13" t="n">
        <v>0</v>
      </c>
      <c r="H37" s="13" t="n">
        <v>0</v>
      </c>
      <c r="I37" s="13" t="n">
        <v>0</v>
      </c>
      <c r="J37" s="13" t="n">
        <v>0</v>
      </c>
    </row>
    <row r="38" customFormat="false" ht="15" hidden="false" customHeight="false" outlineLevel="0" collapsed="false">
      <c r="A38" s="4" t="s">
        <v>230</v>
      </c>
      <c r="B38" s="13" t="n">
        <v>0</v>
      </c>
      <c r="C38" s="13" t="n">
        <v>0</v>
      </c>
      <c r="D38" s="13" t="n">
        <v>0</v>
      </c>
      <c r="E38" s="13" t="n">
        <v>0</v>
      </c>
      <c r="F38" s="13" t="n">
        <v>0</v>
      </c>
      <c r="G38" s="13" t="n">
        <v>0</v>
      </c>
      <c r="H38" s="13" t="n">
        <v>0</v>
      </c>
      <c r="I38" s="13" t="n">
        <v>0</v>
      </c>
      <c r="J38" s="13" t="n">
        <v>0</v>
      </c>
    </row>
    <row r="39" customFormat="false" ht="15" hidden="false" customHeight="false" outlineLevel="0" collapsed="false">
      <c r="A39" s="4" t="s">
        <v>231</v>
      </c>
      <c r="B39" s="13" t="n">
        <v>0</v>
      </c>
      <c r="C39" s="13" t="n">
        <v>0</v>
      </c>
      <c r="D39" s="13" t="n">
        <v>0</v>
      </c>
      <c r="E39" s="13" t="n">
        <v>0</v>
      </c>
      <c r="F39" s="13" t="n">
        <v>0</v>
      </c>
      <c r="G39" s="13" t="n">
        <v>0</v>
      </c>
      <c r="H39" s="13" t="n">
        <v>0</v>
      </c>
      <c r="I39" s="13" t="n">
        <v>0</v>
      </c>
      <c r="J39" s="13" t="n">
        <v>0</v>
      </c>
    </row>
    <row r="40" customFormat="false" ht="15" hidden="false" customHeight="false" outlineLevel="0" collapsed="false">
      <c r="A40" s="4" t="s">
        <v>232</v>
      </c>
      <c r="B40" s="13" t="n">
        <v>0</v>
      </c>
      <c r="C40" s="13" t="n">
        <v>0</v>
      </c>
      <c r="D40" s="13" t="n">
        <v>0</v>
      </c>
      <c r="E40" s="13" t="n">
        <v>0</v>
      </c>
      <c r="F40" s="13" t="n">
        <v>0</v>
      </c>
      <c r="G40" s="13" t="n">
        <v>0</v>
      </c>
      <c r="H40" s="13" t="n">
        <v>0</v>
      </c>
      <c r="I40" s="13" t="n">
        <v>0</v>
      </c>
      <c r="J40" s="13" t="n">
        <v>0</v>
      </c>
    </row>
    <row r="41" customFormat="false" ht="15" hidden="false" customHeight="false" outlineLevel="0" collapsed="false">
      <c r="A41" s="4" t="s">
        <v>233</v>
      </c>
      <c r="B41" s="13" t="n">
        <v>0</v>
      </c>
      <c r="C41" s="13" t="n">
        <v>0</v>
      </c>
      <c r="D41" s="13" t="n">
        <v>0</v>
      </c>
      <c r="E41" s="13" t="n">
        <v>0</v>
      </c>
      <c r="F41" s="13" t="n">
        <v>0</v>
      </c>
      <c r="G41" s="13" t="n">
        <v>0</v>
      </c>
      <c r="H41" s="13" t="n">
        <v>0</v>
      </c>
      <c r="I41" s="13" t="n">
        <v>0</v>
      </c>
      <c r="J41" s="13" t="n">
        <v>0</v>
      </c>
    </row>
    <row r="42" customFormat="false" ht="15" hidden="false" customHeight="false" outlineLevel="0" collapsed="false">
      <c r="A42" s="4" t="s">
        <v>234</v>
      </c>
      <c r="B42" s="13" t="n">
        <v>0</v>
      </c>
      <c r="C42" s="13" t="n">
        <v>0</v>
      </c>
      <c r="D42" s="13" t="n">
        <v>0</v>
      </c>
      <c r="E42" s="13" t="n">
        <v>0</v>
      </c>
      <c r="F42" s="13" t="n">
        <v>0</v>
      </c>
      <c r="G42" s="13" t="n">
        <v>0</v>
      </c>
      <c r="H42" s="13" t="n">
        <v>0</v>
      </c>
      <c r="I42" s="13" t="n">
        <v>0</v>
      </c>
      <c r="J42" s="13" t="n">
        <v>0</v>
      </c>
    </row>
    <row r="43" customFormat="false" ht="15" hidden="false" customHeight="false" outlineLevel="0" collapsed="false">
      <c r="A43" s="4" t="s">
        <v>235</v>
      </c>
      <c r="B43" s="13" t="n">
        <v>0</v>
      </c>
      <c r="C43" s="13" t="n">
        <v>0</v>
      </c>
      <c r="D43" s="13" t="n">
        <v>0</v>
      </c>
      <c r="E43" s="13" t="n">
        <v>0</v>
      </c>
      <c r="F43" s="13" t="n">
        <v>0</v>
      </c>
      <c r="G43" s="13" t="n">
        <v>0</v>
      </c>
      <c r="H43" s="13" t="n">
        <v>0</v>
      </c>
      <c r="I43" s="13" t="n">
        <v>0</v>
      </c>
      <c r="J43" s="13" t="n">
        <v>0</v>
      </c>
    </row>
    <row r="44" customFormat="false" ht="15" hidden="false" customHeight="false" outlineLevel="0" collapsed="false">
      <c r="A44" s="4" t="s">
        <v>236</v>
      </c>
      <c r="B44" s="13" t="n">
        <v>0</v>
      </c>
      <c r="C44" s="13" t="n">
        <v>0</v>
      </c>
      <c r="D44" s="13" t="n">
        <v>0</v>
      </c>
      <c r="E44" s="13" t="n">
        <v>0</v>
      </c>
      <c r="F44" s="13" t="n">
        <v>0</v>
      </c>
      <c r="G44" s="13" t="n">
        <v>0</v>
      </c>
      <c r="H44" s="13" t="n">
        <v>0</v>
      </c>
      <c r="I44" s="13" t="n">
        <v>0</v>
      </c>
      <c r="J44" s="13" t="n">
        <v>0</v>
      </c>
    </row>
    <row r="45" customFormat="false" ht="15" hidden="false" customHeight="false" outlineLevel="0" collapsed="false">
      <c r="A45" s="4" t="s">
        <v>237</v>
      </c>
      <c r="B45" s="13" t="n">
        <v>0</v>
      </c>
      <c r="C45" s="13" t="n">
        <v>0</v>
      </c>
      <c r="D45" s="13" t="n">
        <v>0</v>
      </c>
      <c r="E45" s="13" t="n">
        <v>0</v>
      </c>
      <c r="F45" s="13" t="n">
        <v>0</v>
      </c>
      <c r="G45" s="13" t="n">
        <v>0</v>
      </c>
      <c r="H45" s="13" t="n">
        <v>0</v>
      </c>
      <c r="I45" s="13" t="n">
        <v>0</v>
      </c>
      <c r="J45" s="13" t="n">
        <v>0</v>
      </c>
    </row>
    <row r="46" customFormat="false" ht="15" hidden="false" customHeight="false" outlineLevel="0" collapsed="false">
      <c r="A46" s="4" t="s">
        <v>238</v>
      </c>
      <c r="B46" s="13" t="n">
        <v>0</v>
      </c>
      <c r="C46" s="13" t="n">
        <v>0</v>
      </c>
      <c r="D46" s="13" t="n">
        <v>0</v>
      </c>
      <c r="E46" s="13" t="n">
        <v>0</v>
      </c>
      <c r="F46" s="13" t="n">
        <v>0</v>
      </c>
      <c r="G46" s="13" t="n">
        <v>0</v>
      </c>
      <c r="H46" s="13" t="n">
        <v>0</v>
      </c>
      <c r="I46" s="13" t="n">
        <v>0</v>
      </c>
      <c r="J46" s="13" t="n">
        <v>0</v>
      </c>
    </row>
    <row r="47" customFormat="false" ht="15" hidden="false" customHeight="false" outlineLevel="0" collapsed="false">
      <c r="A47" s="4" t="s">
        <v>239</v>
      </c>
      <c r="B47" s="13" t="n">
        <v>0</v>
      </c>
      <c r="C47" s="13" t="n">
        <v>0</v>
      </c>
      <c r="D47" s="13" t="n">
        <v>0</v>
      </c>
      <c r="E47" s="13" t="n">
        <v>0</v>
      </c>
      <c r="F47" s="13" t="n">
        <v>0</v>
      </c>
      <c r="G47" s="13" t="n">
        <v>0</v>
      </c>
      <c r="H47" s="13" t="n">
        <v>0</v>
      </c>
      <c r="I47" s="13" t="n">
        <v>0</v>
      </c>
      <c r="J47" s="13" t="n">
        <v>0</v>
      </c>
    </row>
    <row r="48" customFormat="false" ht="15" hidden="false" customHeight="false" outlineLevel="0" collapsed="false">
      <c r="A48" s="4" t="s">
        <v>240</v>
      </c>
      <c r="B48" s="13" t="n">
        <v>0</v>
      </c>
      <c r="C48" s="13" t="n">
        <v>0</v>
      </c>
      <c r="D48" s="13" t="n">
        <v>0</v>
      </c>
      <c r="E48" s="13" t="n">
        <v>0</v>
      </c>
      <c r="F48" s="13" t="n">
        <v>0</v>
      </c>
      <c r="G48" s="13" t="n">
        <v>0</v>
      </c>
      <c r="H48" s="13" t="n">
        <v>0</v>
      </c>
      <c r="I48" s="13" t="n">
        <v>0</v>
      </c>
      <c r="J48" s="13" t="n">
        <v>0</v>
      </c>
    </row>
    <row r="49" customFormat="false" ht="15" hidden="false" customHeight="false" outlineLevel="0" collapsed="false">
      <c r="A49" s="4" t="s">
        <v>241</v>
      </c>
      <c r="B49" s="13" t="n">
        <v>0</v>
      </c>
      <c r="C49" s="13" t="n">
        <v>0</v>
      </c>
      <c r="D49" s="13" t="n">
        <v>0</v>
      </c>
      <c r="E49" s="13" t="n">
        <v>0</v>
      </c>
      <c r="F49" s="13" t="n">
        <v>0</v>
      </c>
      <c r="G49" s="13" t="n">
        <v>0</v>
      </c>
      <c r="H49" s="13" t="n">
        <v>0</v>
      </c>
      <c r="I49" s="13" t="n">
        <v>0</v>
      </c>
      <c r="J49" s="13" t="n">
        <v>0</v>
      </c>
    </row>
    <row r="50" customFormat="false" ht="15" hidden="false" customHeight="false" outlineLevel="0" collapsed="false">
      <c r="A50" s="4" t="s">
        <v>242</v>
      </c>
      <c r="B50" s="13" t="n">
        <v>0</v>
      </c>
      <c r="C50" s="13" t="n">
        <v>0</v>
      </c>
      <c r="D50" s="13" t="n">
        <v>0</v>
      </c>
      <c r="E50" s="13" t="n">
        <v>0</v>
      </c>
      <c r="F50" s="13" t="n">
        <v>0</v>
      </c>
      <c r="G50" s="13" t="n">
        <v>0</v>
      </c>
      <c r="H50" s="13" t="n">
        <v>0</v>
      </c>
      <c r="I50" s="13" t="n">
        <v>0</v>
      </c>
      <c r="J50" s="13" t="n">
        <v>0</v>
      </c>
    </row>
    <row r="51" customFormat="false" ht="15" hidden="false" customHeight="false" outlineLevel="0" collapsed="false">
      <c r="A51" s="4" t="s">
        <v>243</v>
      </c>
      <c r="B51" s="13" t="n">
        <v>0</v>
      </c>
      <c r="C51" s="13" t="n">
        <v>0</v>
      </c>
      <c r="D51" s="13" t="n">
        <v>0</v>
      </c>
      <c r="E51" s="13" t="n">
        <v>0</v>
      </c>
      <c r="F51" s="13" t="n">
        <v>0</v>
      </c>
      <c r="G51" s="13" t="n">
        <v>0</v>
      </c>
      <c r="H51" s="13" t="n">
        <v>0</v>
      </c>
      <c r="I51" s="13" t="n">
        <v>0</v>
      </c>
      <c r="J51" s="13" t="n">
        <v>0</v>
      </c>
    </row>
    <row r="52" customFormat="false" ht="15" hidden="false" customHeight="false" outlineLevel="0" collapsed="false">
      <c r="A52" s="4" t="s">
        <v>244</v>
      </c>
      <c r="B52" s="13" t="n">
        <v>0</v>
      </c>
      <c r="C52" s="13" t="n">
        <v>0</v>
      </c>
      <c r="D52" s="13" t="n">
        <v>0</v>
      </c>
      <c r="E52" s="13" t="n">
        <v>0</v>
      </c>
      <c r="F52" s="13" t="n">
        <v>0</v>
      </c>
      <c r="G52" s="13" t="n">
        <v>0</v>
      </c>
      <c r="H52" s="13" t="n">
        <v>0</v>
      </c>
      <c r="I52" s="13" t="n">
        <v>0</v>
      </c>
      <c r="J52" s="13" t="n">
        <v>0</v>
      </c>
    </row>
    <row r="53" customFormat="false" ht="15" hidden="false" customHeight="false" outlineLevel="0" collapsed="false">
      <c r="A53" s="4" t="s">
        <v>245</v>
      </c>
      <c r="B53" s="13" t="n">
        <v>0</v>
      </c>
      <c r="C53" s="13" t="n">
        <v>0</v>
      </c>
      <c r="D53" s="13" t="n">
        <v>0</v>
      </c>
      <c r="E53" s="13" t="n">
        <v>0</v>
      </c>
      <c r="F53" s="13" t="n">
        <v>0</v>
      </c>
      <c r="G53" s="13" t="n">
        <v>0</v>
      </c>
      <c r="H53" s="13" t="n">
        <v>0</v>
      </c>
      <c r="I53" s="13" t="n">
        <v>0</v>
      </c>
      <c r="J53" s="13" t="n">
        <v>0</v>
      </c>
    </row>
    <row r="54" customFormat="false" ht="15" hidden="false" customHeight="false" outlineLevel="0" collapsed="false">
      <c r="A54" s="4" t="s">
        <v>246</v>
      </c>
      <c r="B54" s="13" t="n">
        <v>2</v>
      </c>
      <c r="C54" s="13" t="n">
        <v>2</v>
      </c>
      <c r="D54" s="13" t="n">
        <v>0</v>
      </c>
      <c r="E54" s="13" t="n">
        <v>2</v>
      </c>
      <c r="F54" s="13" t="n">
        <v>2</v>
      </c>
      <c r="G54" s="13" t="n">
        <v>0</v>
      </c>
      <c r="H54" s="13" t="n">
        <v>0</v>
      </c>
      <c r="I54" s="13" t="n">
        <v>0</v>
      </c>
      <c r="J54" s="13" t="n">
        <v>0</v>
      </c>
    </row>
    <row r="55" customFormat="false" ht="15" hidden="false" customHeight="false" outlineLevel="0" collapsed="false">
      <c r="A55" s="4" t="s">
        <v>247</v>
      </c>
      <c r="B55" s="13" t="n">
        <v>7</v>
      </c>
      <c r="C55" s="13" t="n">
        <v>18</v>
      </c>
      <c r="D55" s="13" t="n">
        <v>0</v>
      </c>
      <c r="E55" s="13" t="n">
        <v>1</v>
      </c>
      <c r="F55" s="13" t="n">
        <v>1</v>
      </c>
      <c r="G55" s="13" t="n">
        <v>0</v>
      </c>
      <c r="H55" s="13" t="n">
        <v>0</v>
      </c>
      <c r="I55" s="13" t="n">
        <v>0</v>
      </c>
      <c r="J55" s="13" t="n">
        <v>0</v>
      </c>
    </row>
    <row r="56" customFormat="false" ht="15" hidden="false" customHeight="false" outlineLevel="0" collapsed="false">
      <c r="A56" s="4" t="s">
        <v>248</v>
      </c>
      <c r="B56" s="13" t="n">
        <v>2</v>
      </c>
      <c r="C56" s="13" t="n">
        <v>4</v>
      </c>
      <c r="D56" s="13" t="n">
        <v>0</v>
      </c>
      <c r="E56" s="13" t="n">
        <v>0</v>
      </c>
      <c r="F56" s="13" t="n">
        <v>0</v>
      </c>
      <c r="G56" s="13" t="n">
        <v>0</v>
      </c>
      <c r="H56" s="13" t="n">
        <v>0</v>
      </c>
      <c r="I56" s="13" t="n">
        <v>0</v>
      </c>
      <c r="J56" s="13" t="n">
        <v>0</v>
      </c>
    </row>
    <row r="57" customFormat="false" ht="15" hidden="false" customHeight="false" outlineLevel="0" collapsed="false">
      <c r="A57" s="4" t="s">
        <v>249</v>
      </c>
      <c r="B57" s="13" t="n">
        <v>2</v>
      </c>
      <c r="C57" s="13" t="n">
        <v>3</v>
      </c>
      <c r="D57" s="13" t="n">
        <v>0</v>
      </c>
      <c r="E57" s="13" t="n">
        <v>1</v>
      </c>
      <c r="F57" s="13" t="n">
        <v>1</v>
      </c>
      <c r="G57" s="13" t="n">
        <v>0</v>
      </c>
      <c r="H57" s="13" t="n">
        <v>0</v>
      </c>
      <c r="I57" s="13" t="n">
        <v>0</v>
      </c>
      <c r="J57" s="13" t="n">
        <v>0</v>
      </c>
    </row>
    <row r="58" customFormat="false" ht="15" hidden="false" customHeight="false" outlineLevel="0" collapsed="false">
      <c r="A58" s="4" t="s">
        <v>250</v>
      </c>
      <c r="B58" s="13" t="n">
        <v>44</v>
      </c>
      <c r="C58" s="13" t="n">
        <v>74</v>
      </c>
      <c r="D58" s="13" t="n">
        <v>0</v>
      </c>
      <c r="E58" s="13" t="n">
        <v>5</v>
      </c>
      <c r="F58" s="13" t="n">
        <v>3</v>
      </c>
      <c r="G58" s="13" t="n">
        <v>0</v>
      </c>
      <c r="H58" s="13" t="n">
        <v>0</v>
      </c>
      <c r="I58" s="13" t="n">
        <v>1</v>
      </c>
      <c r="J58" s="13" t="n">
        <v>0</v>
      </c>
    </row>
    <row r="59" customFormat="false" ht="15" hidden="false" customHeight="false" outlineLevel="0" collapsed="false">
      <c r="A59" s="4" t="s">
        <v>251</v>
      </c>
      <c r="B59" s="13" t="n">
        <v>13</v>
      </c>
      <c r="C59" s="13" t="n">
        <v>20</v>
      </c>
      <c r="D59" s="13" t="n">
        <v>0</v>
      </c>
      <c r="E59" s="13" t="n">
        <v>1</v>
      </c>
      <c r="F59" s="13" t="n">
        <v>1</v>
      </c>
      <c r="G59" s="13" t="n">
        <v>0</v>
      </c>
      <c r="H59" s="13" t="n">
        <v>0</v>
      </c>
      <c r="I59" s="13" t="n">
        <v>0</v>
      </c>
      <c r="J59" s="13" t="n">
        <v>0</v>
      </c>
    </row>
    <row r="60" customFormat="false" ht="15" hidden="false" customHeight="false" outlineLevel="0" collapsed="false">
      <c r="A60" s="4" t="s">
        <v>252</v>
      </c>
      <c r="B60" s="13" t="n">
        <v>45</v>
      </c>
      <c r="C60" s="13" t="n">
        <v>95</v>
      </c>
      <c r="D60" s="13" t="n">
        <v>0</v>
      </c>
      <c r="E60" s="13" t="n">
        <v>8</v>
      </c>
      <c r="F60" s="13" t="n">
        <v>6</v>
      </c>
      <c r="G60" s="13" t="n">
        <v>0</v>
      </c>
      <c r="H60" s="13" t="n">
        <v>0</v>
      </c>
      <c r="I60" s="13" t="n">
        <v>1</v>
      </c>
      <c r="J60" s="13" t="n">
        <v>0</v>
      </c>
    </row>
    <row r="61" customFormat="false" ht="15" hidden="false" customHeight="false" outlineLevel="0" collapsed="false">
      <c r="A61" s="4" t="s">
        <v>253</v>
      </c>
      <c r="B61" s="13" t="n">
        <v>12</v>
      </c>
      <c r="C61" s="13" t="n">
        <v>34</v>
      </c>
      <c r="D61" s="13" t="n">
        <v>0</v>
      </c>
      <c r="E61" s="13" t="n">
        <v>0</v>
      </c>
      <c r="F61" s="13" t="n">
        <v>0</v>
      </c>
      <c r="G61" s="13" t="n">
        <v>0</v>
      </c>
      <c r="H61" s="13" t="n">
        <v>0</v>
      </c>
      <c r="I61" s="13" t="n">
        <v>0</v>
      </c>
      <c r="J61" s="13" t="n">
        <v>0</v>
      </c>
    </row>
    <row r="62" customFormat="false" ht="15" hidden="false" customHeight="false" outlineLevel="0" collapsed="false">
      <c r="A62" s="4" t="s">
        <v>254</v>
      </c>
      <c r="B62" s="13" t="n">
        <v>7</v>
      </c>
      <c r="C62" s="13" t="n">
        <v>58</v>
      </c>
      <c r="D62" s="13" t="n">
        <v>0</v>
      </c>
      <c r="E62" s="13" t="n">
        <v>3</v>
      </c>
      <c r="F62" s="13" t="n">
        <v>3</v>
      </c>
      <c r="G62" s="13" t="n">
        <v>0</v>
      </c>
      <c r="H62" s="13" t="n">
        <v>0</v>
      </c>
      <c r="I62" s="13" t="n">
        <v>0</v>
      </c>
      <c r="J62" s="13" t="n">
        <v>0</v>
      </c>
    </row>
    <row r="63" customFormat="false" ht="15" hidden="false" customHeight="false" outlineLevel="0" collapsed="false">
      <c r="A63" s="4" t="s">
        <v>255</v>
      </c>
      <c r="B63" s="13" t="n">
        <v>7</v>
      </c>
      <c r="C63" s="13" t="n">
        <v>40</v>
      </c>
      <c r="D63" s="13" t="n">
        <v>0</v>
      </c>
      <c r="E63" s="13" t="n">
        <v>1</v>
      </c>
      <c r="F63" s="13" t="n">
        <v>1</v>
      </c>
      <c r="G63" s="13" t="n">
        <v>0</v>
      </c>
      <c r="H63" s="13" t="n">
        <v>0</v>
      </c>
      <c r="I63" s="13" t="n">
        <v>0</v>
      </c>
      <c r="J63" s="13" t="n">
        <v>0</v>
      </c>
    </row>
    <row r="64" customFormat="false" ht="15" hidden="false" customHeight="false" outlineLevel="0" collapsed="false">
      <c r="A64" s="4" t="s">
        <v>256</v>
      </c>
      <c r="B64" s="13" t="n">
        <v>1</v>
      </c>
      <c r="C64" s="13" t="n">
        <v>1</v>
      </c>
      <c r="D64" s="13" t="n">
        <v>0</v>
      </c>
      <c r="E64" s="13" t="n">
        <v>0</v>
      </c>
      <c r="F64" s="13" t="n">
        <v>0</v>
      </c>
      <c r="G64" s="13" t="n">
        <v>0</v>
      </c>
      <c r="H64" s="13" t="n">
        <v>0</v>
      </c>
      <c r="I64" s="13" t="n">
        <v>0</v>
      </c>
      <c r="J64" s="13" t="n">
        <v>0</v>
      </c>
    </row>
    <row r="65" customFormat="false" ht="15" hidden="false" customHeight="false" outlineLevel="0" collapsed="false">
      <c r="A65" s="4" t="s">
        <v>257</v>
      </c>
      <c r="B65" s="13" t="n">
        <v>11</v>
      </c>
      <c r="C65" s="13" t="n">
        <v>51</v>
      </c>
      <c r="D65" s="13" t="n">
        <v>0</v>
      </c>
      <c r="E65" s="13" t="n">
        <v>4</v>
      </c>
      <c r="F65" s="13" t="n">
        <v>4</v>
      </c>
      <c r="G65" s="13" t="n">
        <v>0</v>
      </c>
      <c r="H65" s="13" t="n">
        <v>0</v>
      </c>
      <c r="I65" s="13" t="n">
        <v>0</v>
      </c>
      <c r="J65" s="13" t="n">
        <v>0</v>
      </c>
    </row>
    <row r="66" customFormat="false" ht="15" hidden="false" customHeight="false" outlineLevel="0" collapsed="false">
      <c r="A66" s="4" t="s">
        <v>258</v>
      </c>
      <c r="B66" s="13" t="n">
        <v>44</v>
      </c>
      <c r="C66" s="13" t="n">
        <v>95</v>
      </c>
      <c r="D66" s="13" t="n">
        <v>0</v>
      </c>
      <c r="E66" s="13" t="n">
        <v>3</v>
      </c>
      <c r="F66" s="13" t="n">
        <v>0</v>
      </c>
      <c r="G66" s="13" t="n">
        <v>0</v>
      </c>
      <c r="H66" s="13" t="n">
        <v>0</v>
      </c>
      <c r="I66" s="13" t="n">
        <v>1</v>
      </c>
      <c r="J66" s="13" t="n">
        <v>0</v>
      </c>
    </row>
    <row r="67" customFormat="false" ht="15" hidden="false" customHeight="false" outlineLevel="0" collapsed="false">
      <c r="A67" s="4" t="s">
        <v>259</v>
      </c>
      <c r="B67" s="13" t="n">
        <v>2</v>
      </c>
      <c r="C67" s="13" t="n">
        <v>2</v>
      </c>
      <c r="D67" s="13" t="n">
        <v>0</v>
      </c>
      <c r="E67" s="13" t="n">
        <v>0</v>
      </c>
      <c r="F67" s="13" t="n">
        <v>0</v>
      </c>
      <c r="G67" s="13" t="n">
        <v>0</v>
      </c>
      <c r="H67" s="13" t="n">
        <v>0</v>
      </c>
      <c r="I67" s="13" t="n">
        <v>0</v>
      </c>
      <c r="J67" s="13" t="n">
        <v>0</v>
      </c>
    </row>
    <row r="68" customFormat="false" ht="15" hidden="false" customHeight="false" outlineLevel="0" collapsed="false">
      <c r="A68" s="4" t="s">
        <v>260</v>
      </c>
      <c r="B68" s="13" t="n">
        <v>11</v>
      </c>
      <c r="C68" s="13" t="n">
        <v>35</v>
      </c>
      <c r="D68" s="13" t="n">
        <v>0</v>
      </c>
      <c r="E68" s="13" t="n">
        <v>4</v>
      </c>
      <c r="F68" s="13" t="n">
        <v>4</v>
      </c>
      <c r="G68" s="13" t="n">
        <v>0</v>
      </c>
      <c r="H68" s="13" t="n">
        <v>0</v>
      </c>
      <c r="I68" s="13" t="n">
        <v>0</v>
      </c>
      <c r="J68" s="13" t="n">
        <v>0</v>
      </c>
    </row>
    <row r="69" customFormat="false" ht="15" hidden="false" customHeight="false" outlineLevel="0" collapsed="false">
      <c r="A69" s="4" t="s">
        <v>261</v>
      </c>
      <c r="B69" s="13" t="n">
        <v>6</v>
      </c>
      <c r="C69" s="13" t="n">
        <v>14</v>
      </c>
      <c r="D69" s="13" t="n">
        <v>0</v>
      </c>
      <c r="E69" s="13" t="n">
        <v>0</v>
      </c>
      <c r="F69" s="13" t="n">
        <v>0</v>
      </c>
      <c r="G69" s="13" t="n">
        <v>0</v>
      </c>
      <c r="H69" s="13" t="n">
        <v>0</v>
      </c>
      <c r="I69" s="13" t="n">
        <v>0</v>
      </c>
      <c r="J69" s="13" t="n">
        <v>0</v>
      </c>
    </row>
    <row r="70" customFormat="false" ht="15" hidden="false" customHeight="false" outlineLevel="0" collapsed="false">
      <c r="A70" s="4" t="s">
        <v>262</v>
      </c>
      <c r="B70" s="13" t="n">
        <v>0</v>
      </c>
      <c r="C70" s="13" t="n">
        <v>0</v>
      </c>
      <c r="D70" s="13" t="n">
        <v>0</v>
      </c>
      <c r="E70" s="13" t="n">
        <v>0</v>
      </c>
      <c r="F70" s="13" t="n">
        <v>0</v>
      </c>
      <c r="G70" s="13" t="n">
        <v>0</v>
      </c>
      <c r="H70" s="13" t="n">
        <v>0</v>
      </c>
      <c r="I70" s="13" t="n">
        <v>0</v>
      </c>
      <c r="J70" s="13" t="n">
        <v>0</v>
      </c>
    </row>
    <row r="71" customFormat="false" ht="15" hidden="false" customHeight="false" outlineLevel="0" collapsed="false">
      <c r="A71" s="4" t="s">
        <v>263</v>
      </c>
      <c r="B71" s="13" t="n">
        <v>0</v>
      </c>
      <c r="C71" s="13" t="n">
        <v>0</v>
      </c>
      <c r="D71" s="13" t="n">
        <v>0</v>
      </c>
      <c r="E71" s="13" t="n">
        <v>0</v>
      </c>
      <c r="F71" s="13" t="n">
        <v>0</v>
      </c>
      <c r="G71" s="13" t="n">
        <v>0</v>
      </c>
      <c r="H71" s="13" t="n">
        <v>0</v>
      </c>
      <c r="I71" s="13" t="n">
        <v>0</v>
      </c>
      <c r="J71" s="13" t="n">
        <v>0</v>
      </c>
    </row>
    <row r="72" customFormat="false" ht="15" hidden="false" customHeight="false" outlineLevel="0" collapsed="false">
      <c r="A72" s="4" t="s">
        <v>264</v>
      </c>
      <c r="B72" s="13" t="n">
        <v>0</v>
      </c>
      <c r="C72" s="13" t="n">
        <v>0</v>
      </c>
      <c r="D72" s="13" t="n">
        <v>0</v>
      </c>
      <c r="E72" s="13" t="n">
        <v>0</v>
      </c>
      <c r="F72" s="13" t="n">
        <v>0</v>
      </c>
      <c r="G72" s="13" t="n">
        <v>0</v>
      </c>
      <c r="H72" s="13" t="n">
        <v>0</v>
      </c>
      <c r="I72" s="13" t="n">
        <v>0</v>
      </c>
      <c r="J72" s="13" t="n">
        <v>0</v>
      </c>
    </row>
    <row r="73" customFormat="false" ht="15" hidden="false" customHeight="false" outlineLevel="0" collapsed="false">
      <c r="A73" s="4" t="s">
        <v>265</v>
      </c>
      <c r="B73" s="13" t="n">
        <v>0</v>
      </c>
      <c r="C73" s="13" t="n">
        <v>0</v>
      </c>
      <c r="D73" s="13" t="n">
        <v>0</v>
      </c>
      <c r="E73" s="13" t="n">
        <v>0</v>
      </c>
      <c r="F73" s="13" t="n">
        <v>0</v>
      </c>
      <c r="G73" s="13" t="n">
        <v>0</v>
      </c>
      <c r="H73" s="13" t="n">
        <v>0</v>
      </c>
      <c r="I73" s="13" t="n">
        <v>0</v>
      </c>
      <c r="J73" s="13" t="n">
        <v>0</v>
      </c>
    </row>
    <row r="74" customFormat="false" ht="15" hidden="false" customHeight="false" outlineLevel="0" collapsed="false">
      <c r="A74" s="4" t="s">
        <v>266</v>
      </c>
      <c r="B74" s="13" t="n">
        <v>0</v>
      </c>
      <c r="C74" s="13" t="n">
        <v>0</v>
      </c>
      <c r="D74" s="13" t="n">
        <v>0</v>
      </c>
      <c r="E74" s="13" t="n">
        <v>0</v>
      </c>
      <c r="F74" s="13" t="n">
        <v>0</v>
      </c>
      <c r="G74" s="13" t="n">
        <v>0</v>
      </c>
      <c r="H74" s="13" t="n">
        <v>0</v>
      </c>
      <c r="I74" s="13" t="n">
        <v>0</v>
      </c>
      <c r="J74" s="13" t="n">
        <v>0</v>
      </c>
    </row>
    <row r="75" customFormat="false" ht="15" hidden="false" customHeight="false" outlineLevel="0" collapsed="false">
      <c r="A75" s="4" t="s">
        <v>267</v>
      </c>
      <c r="B75" s="13" t="n">
        <v>0</v>
      </c>
      <c r="C75" s="13" t="n">
        <v>0</v>
      </c>
      <c r="D75" s="13" t="n">
        <v>0</v>
      </c>
      <c r="E75" s="13" t="n">
        <v>0</v>
      </c>
      <c r="F75" s="13" t="n">
        <v>0</v>
      </c>
      <c r="G75" s="13" t="n">
        <v>0</v>
      </c>
      <c r="H75" s="13" t="n">
        <v>0</v>
      </c>
      <c r="I75" s="13" t="n">
        <v>0</v>
      </c>
      <c r="J75" s="13" t="n">
        <v>0</v>
      </c>
    </row>
    <row r="76" customFormat="false" ht="15" hidden="false" customHeight="false" outlineLevel="0" collapsed="false">
      <c r="A76" s="4" t="s">
        <v>268</v>
      </c>
      <c r="B76" s="13" t="n">
        <v>0</v>
      </c>
      <c r="C76" s="13" t="n">
        <v>0</v>
      </c>
      <c r="D76" s="13" t="n">
        <v>0</v>
      </c>
      <c r="E76" s="13" t="n">
        <v>0</v>
      </c>
      <c r="F76" s="13" t="n">
        <v>0</v>
      </c>
      <c r="G76" s="13" t="n">
        <v>0</v>
      </c>
      <c r="H76" s="13" t="n">
        <v>0</v>
      </c>
      <c r="I76" s="13" t="n">
        <v>0</v>
      </c>
      <c r="J76" s="13" t="n">
        <v>0</v>
      </c>
    </row>
    <row r="77" customFormat="false" ht="15" hidden="false" customHeight="false" outlineLevel="0" collapsed="false">
      <c r="A77" s="4" t="s">
        <v>269</v>
      </c>
      <c r="B77" s="13" t="n">
        <v>0</v>
      </c>
      <c r="C77" s="13" t="n">
        <v>0</v>
      </c>
      <c r="D77" s="13" t="n">
        <v>0</v>
      </c>
      <c r="E77" s="13" t="n">
        <v>0</v>
      </c>
      <c r="F77" s="13" t="n">
        <v>0</v>
      </c>
      <c r="G77" s="13" t="n">
        <v>0</v>
      </c>
      <c r="H77" s="13" t="n">
        <v>0</v>
      </c>
      <c r="I77" s="13" t="n">
        <v>0</v>
      </c>
      <c r="J77" s="13" t="n">
        <v>0</v>
      </c>
    </row>
    <row r="78" customFormat="false" ht="15" hidden="false" customHeight="false" outlineLevel="0" collapsed="false">
      <c r="A78" s="4" t="s">
        <v>270</v>
      </c>
      <c r="B78" s="13" t="n">
        <v>0</v>
      </c>
      <c r="C78" s="13" t="n">
        <v>0</v>
      </c>
      <c r="D78" s="13" t="n">
        <v>0</v>
      </c>
      <c r="E78" s="13" t="n">
        <v>0</v>
      </c>
      <c r="F78" s="13" t="n">
        <v>0</v>
      </c>
      <c r="G78" s="13" t="n">
        <v>0</v>
      </c>
      <c r="H78" s="13" t="n">
        <v>0</v>
      </c>
      <c r="I78" s="13" t="n">
        <v>0</v>
      </c>
      <c r="J78" s="13" t="n">
        <v>0</v>
      </c>
    </row>
    <row r="79" customFormat="false" ht="15" hidden="false" customHeight="false" outlineLevel="0" collapsed="false">
      <c r="A79" s="4" t="s">
        <v>271</v>
      </c>
      <c r="B79" s="13" t="n">
        <v>0</v>
      </c>
      <c r="C79" s="13" t="n">
        <v>0</v>
      </c>
      <c r="D79" s="13" t="n">
        <v>0</v>
      </c>
      <c r="E79" s="13" t="n">
        <v>0</v>
      </c>
      <c r="F79" s="13" t="n">
        <v>0</v>
      </c>
      <c r="G79" s="13" t="n">
        <v>0</v>
      </c>
      <c r="H79" s="13" t="n">
        <v>0</v>
      </c>
      <c r="I79" s="13" t="n">
        <v>0</v>
      </c>
      <c r="J79" s="13" t="n">
        <v>0</v>
      </c>
    </row>
    <row r="80" customFormat="false" ht="15" hidden="false" customHeight="false" outlineLevel="0" collapsed="false">
      <c r="A80" s="4" t="s">
        <v>272</v>
      </c>
      <c r="B80" s="13" t="n">
        <v>0</v>
      </c>
      <c r="C80" s="13" t="n">
        <v>0</v>
      </c>
      <c r="D80" s="13" t="n">
        <v>0</v>
      </c>
      <c r="E80" s="13" t="n">
        <v>0</v>
      </c>
      <c r="F80" s="13" t="n">
        <v>0</v>
      </c>
      <c r="G80" s="13" t="n">
        <v>0</v>
      </c>
      <c r="H80" s="13" t="n">
        <v>0</v>
      </c>
      <c r="I80" s="13" t="n">
        <v>0</v>
      </c>
      <c r="J80" s="13" t="n">
        <v>0</v>
      </c>
    </row>
    <row r="81" customFormat="false" ht="15" hidden="false" customHeight="false" outlineLevel="0" collapsed="false">
      <c r="A81" s="4" t="s">
        <v>273</v>
      </c>
      <c r="B81" s="13" t="n">
        <v>0</v>
      </c>
      <c r="C81" s="13" t="n">
        <v>6</v>
      </c>
      <c r="D81" s="13" t="n">
        <v>0</v>
      </c>
      <c r="E81" s="13" t="n">
        <v>0</v>
      </c>
      <c r="F81" s="13" t="n">
        <v>0</v>
      </c>
      <c r="G81" s="13" t="n">
        <v>0</v>
      </c>
      <c r="H81" s="13" t="n">
        <v>0</v>
      </c>
      <c r="I81" s="13" t="n">
        <v>0</v>
      </c>
      <c r="J81" s="13" t="n">
        <v>0</v>
      </c>
    </row>
    <row r="82" customFormat="false" ht="15" hidden="false" customHeight="false" outlineLevel="0" collapsed="false">
      <c r="A82" s="4" t="s">
        <v>274</v>
      </c>
      <c r="B82" s="13" t="n">
        <v>0</v>
      </c>
      <c r="C82" s="13" t="n">
        <v>6</v>
      </c>
      <c r="D82" s="13" t="n">
        <v>0</v>
      </c>
      <c r="E82" s="13" t="n">
        <v>0</v>
      </c>
      <c r="F82" s="13" t="n">
        <v>0</v>
      </c>
      <c r="G82" s="13" t="n">
        <v>0</v>
      </c>
      <c r="H82" s="13" t="n">
        <v>0</v>
      </c>
      <c r="I82" s="13" t="n">
        <v>0</v>
      </c>
      <c r="J82" s="13" t="n">
        <v>0</v>
      </c>
    </row>
    <row r="83" customFormat="false" ht="15" hidden="false" customHeight="false" outlineLevel="0" collapsed="false">
      <c r="A83" s="4" t="s">
        <v>275</v>
      </c>
      <c r="B83" s="13" t="n">
        <v>0</v>
      </c>
      <c r="C83" s="13" t="n">
        <v>0</v>
      </c>
      <c r="D83" s="13" t="n">
        <v>0</v>
      </c>
      <c r="E83" s="13" t="n">
        <v>0</v>
      </c>
      <c r="F83" s="13" t="n">
        <v>0</v>
      </c>
      <c r="G83" s="13" t="n">
        <v>0</v>
      </c>
      <c r="H83" s="13" t="n">
        <v>0</v>
      </c>
      <c r="I83" s="13" t="n">
        <v>0</v>
      </c>
      <c r="J83" s="13" t="n">
        <v>0</v>
      </c>
    </row>
    <row r="84" customFormat="false" ht="15" hidden="false" customHeight="false" outlineLevel="0" collapsed="false">
      <c r="A84" s="4" t="s">
        <v>276</v>
      </c>
      <c r="B84" s="13" t="n">
        <v>1</v>
      </c>
      <c r="C84" s="13" t="n">
        <v>2</v>
      </c>
      <c r="D84" s="13" t="n">
        <v>0</v>
      </c>
      <c r="E84" s="13" t="n">
        <v>0</v>
      </c>
      <c r="F84" s="13" t="n">
        <v>0</v>
      </c>
      <c r="G84" s="13" t="n">
        <v>0</v>
      </c>
      <c r="H84" s="13" t="n">
        <v>0</v>
      </c>
      <c r="I84" s="13" t="n">
        <v>0</v>
      </c>
      <c r="J84" s="13" t="n">
        <v>0</v>
      </c>
    </row>
    <row r="85" customFormat="false" ht="15" hidden="false" customHeight="false" outlineLevel="0" collapsed="false">
      <c r="A85" s="4" t="s">
        <v>277</v>
      </c>
      <c r="B85" s="13" t="n">
        <v>0</v>
      </c>
      <c r="C85" s="13" t="n">
        <v>0</v>
      </c>
      <c r="D85" s="13" t="n">
        <v>0</v>
      </c>
      <c r="E85" s="13" t="n">
        <v>0</v>
      </c>
      <c r="F85" s="13" t="n">
        <v>0</v>
      </c>
      <c r="G85" s="13" t="n">
        <v>0</v>
      </c>
      <c r="H85" s="13" t="n">
        <v>0</v>
      </c>
      <c r="I85" s="13" t="n">
        <v>0</v>
      </c>
      <c r="J85" s="13" t="n">
        <v>0</v>
      </c>
    </row>
    <row r="86" customFormat="false" ht="15" hidden="false" customHeight="false" outlineLevel="0" collapsed="false">
      <c r="A86" s="4" t="s">
        <v>278</v>
      </c>
      <c r="B86" s="13" t="n">
        <v>0</v>
      </c>
      <c r="C86" s="13" t="n">
        <v>0</v>
      </c>
      <c r="D86" s="13" t="n">
        <v>0</v>
      </c>
      <c r="E86" s="13" t="n">
        <v>0</v>
      </c>
      <c r="F86" s="13" t="n">
        <v>0</v>
      </c>
      <c r="G86" s="13" t="n">
        <v>0</v>
      </c>
      <c r="H86" s="13" t="n">
        <v>0</v>
      </c>
      <c r="I86" s="13" t="n">
        <v>0</v>
      </c>
      <c r="J86" s="13" t="n">
        <v>0</v>
      </c>
    </row>
    <row r="87" customFormat="false" ht="15" hidden="false" customHeight="false" outlineLevel="0" collapsed="false">
      <c r="A87" s="4" t="s">
        <v>279</v>
      </c>
      <c r="B87" s="13" t="n">
        <v>0</v>
      </c>
      <c r="C87" s="13" t="n">
        <v>0</v>
      </c>
      <c r="D87" s="13" t="n">
        <v>0</v>
      </c>
      <c r="E87" s="13" t="n">
        <v>0</v>
      </c>
      <c r="F87" s="13" t="n">
        <v>0</v>
      </c>
      <c r="G87" s="13" t="n">
        <v>0</v>
      </c>
      <c r="H87" s="13" t="n">
        <v>0</v>
      </c>
      <c r="I87" s="13" t="n">
        <v>0</v>
      </c>
      <c r="J87" s="13" t="n">
        <v>0</v>
      </c>
    </row>
    <row r="88" customFormat="false" ht="15" hidden="false" customHeight="false" outlineLevel="0" collapsed="false">
      <c r="A88" s="4" t="s">
        <v>280</v>
      </c>
      <c r="B88" s="13" t="n">
        <v>0</v>
      </c>
      <c r="C88" s="13" t="n">
        <v>0</v>
      </c>
      <c r="D88" s="13" t="n">
        <v>0</v>
      </c>
      <c r="E88" s="13" t="n">
        <v>0</v>
      </c>
      <c r="F88" s="13" t="n">
        <v>0</v>
      </c>
      <c r="G88" s="13" t="n">
        <v>0</v>
      </c>
      <c r="H88" s="13" t="n">
        <v>0</v>
      </c>
      <c r="I88" s="13" t="n">
        <v>0</v>
      </c>
      <c r="J88" s="13" t="n">
        <v>0</v>
      </c>
    </row>
    <row r="89" customFormat="false" ht="15" hidden="false" customHeight="false" outlineLevel="0" collapsed="false">
      <c r="A89" s="4" t="s">
        <v>281</v>
      </c>
      <c r="B89" s="13" t="n">
        <v>0</v>
      </c>
      <c r="C89" s="13" t="n">
        <v>0</v>
      </c>
      <c r="D89" s="13" t="n">
        <v>0</v>
      </c>
      <c r="E89" s="13" t="n">
        <v>0</v>
      </c>
      <c r="F89" s="13" t="n">
        <v>0</v>
      </c>
      <c r="G89" s="13" t="n">
        <v>0</v>
      </c>
      <c r="H89" s="13" t="n">
        <v>0</v>
      </c>
      <c r="I89" s="13" t="n">
        <v>0</v>
      </c>
      <c r="J89" s="13" t="n">
        <v>0</v>
      </c>
    </row>
    <row r="90" customFormat="false" ht="15" hidden="false" customHeight="false" outlineLevel="0" collapsed="false">
      <c r="A90" s="4" t="s">
        <v>282</v>
      </c>
      <c r="B90" s="13" t="n">
        <v>0</v>
      </c>
      <c r="C90" s="13" t="n">
        <v>0</v>
      </c>
      <c r="D90" s="13" t="n">
        <v>0</v>
      </c>
      <c r="E90" s="13" t="n">
        <v>0</v>
      </c>
      <c r="F90" s="13" t="n">
        <v>0</v>
      </c>
      <c r="G90" s="13" t="n">
        <v>0</v>
      </c>
      <c r="H90" s="13" t="n">
        <v>0</v>
      </c>
      <c r="I90" s="13" t="n">
        <v>0</v>
      </c>
      <c r="J90" s="13" t="n">
        <v>0</v>
      </c>
    </row>
    <row r="91" customFormat="false" ht="15" hidden="false" customHeight="false" outlineLevel="0" collapsed="false">
      <c r="A91" s="4" t="s">
        <v>283</v>
      </c>
      <c r="B91" s="13" t="n">
        <v>0</v>
      </c>
      <c r="C91" s="13" t="n">
        <v>0</v>
      </c>
      <c r="D91" s="13" t="n">
        <v>0</v>
      </c>
      <c r="E91" s="13" t="n">
        <v>0</v>
      </c>
      <c r="F91" s="13" t="n">
        <v>0</v>
      </c>
      <c r="G91" s="13" t="n">
        <v>0</v>
      </c>
      <c r="H91" s="13" t="n">
        <v>0</v>
      </c>
      <c r="I91" s="13" t="n">
        <v>0</v>
      </c>
      <c r="J91" s="13" t="n">
        <v>0</v>
      </c>
    </row>
    <row r="92" customFormat="false" ht="15" hidden="false" customHeight="false" outlineLevel="0" collapsed="false">
      <c r="A92" s="4" t="s">
        <v>284</v>
      </c>
      <c r="B92" s="13" t="n">
        <v>0</v>
      </c>
      <c r="C92" s="13" t="n">
        <v>0</v>
      </c>
      <c r="D92" s="13" t="n">
        <v>0</v>
      </c>
      <c r="E92" s="13" t="n">
        <v>0</v>
      </c>
      <c r="F92" s="13" t="n">
        <v>0</v>
      </c>
      <c r="G92" s="13" t="n">
        <v>0</v>
      </c>
      <c r="H92" s="13" t="n">
        <v>0</v>
      </c>
      <c r="I92" s="13" t="n">
        <v>0</v>
      </c>
      <c r="J92" s="13" t="n">
        <v>0</v>
      </c>
    </row>
    <row r="93" customFormat="false" ht="15" hidden="false" customHeight="false" outlineLevel="0" collapsed="false">
      <c r="A93" s="4" t="s">
        <v>285</v>
      </c>
      <c r="B93" s="13" t="n">
        <v>0</v>
      </c>
      <c r="C93" s="13" t="n">
        <v>0</v>
      </c>
      <c r="D93" s="13" t="n">
        <v>0</v>
      </c>
      <c r="E93" s="13" t="n">
        <v>0</v>
      </c>
      <c r="F93" s="13" t="n">
        <v>0</v>
      </c>
      <c r="G93" s="13" t="n">
        <v>0</v>
      </c>
      <c r="H93" s="13" t="n">
        <v>0</v>
      </c>
      <c r="I93" s="13" t="n">
        <v>0</v>
      </c>
      <c r="J93" s="13" t="n">
        <v>0</v>
      </c>
    </row>
    <row r="94" customFormat="false" ht="15" hidden="false" customHeight="false" outlineLevel="0" collapsed="false">
      <c r="A94" s="4" t="s">
        <v>286</v>
      </c>
      <c r="B94" s="13" t="n">
        <v>0</v>
      </c>
      <c r="C94" s="13" t="n">
        <v>1</v>
      </c>
      <c r="D94" s="13" t="n">
        <v>0</v>
      </c>
      <c r="E94" s="13" t="n">
        <v>0</v>
      </c>
      <c r="F94" s="13" t="n">
        <v>0</v>
      </c>
      <c r="G94" s="13" t="n">
        <v>0</v>
      </c>
      <c r="H94" s="13" t="n">
        <v>0</v>
      </c>
      <c r="I94" s="13" t="n">
        <v>0</v>
      </c>
      <c r="J94" s="13" t="n">
        <v>0</v>
      </c>
    </row>
    <row r="95" customFormat="false" ht="15" hidden="false" customHeight="false" outlineLevel="0" collapsed="false">
      <c r="A95" s="4" t="s">
        <v>287</v>
      </c>
      <c r="B95" s="13" t="n">
        <v>0</v>
      </c>
      <c r="C95" s="13" t="n">
        <v>0</v>
      </c>
      <c r="D95" s="13" t="n">
        <v>0</v>
      </c>
      <c r="E95" s="13" t="n">
        <v>0</v>
      </c>
      <c r="F95" s="13" t="n">
        <v>0</v>
      </c>
      <c r="G95" s="13" t="n">
        <v>0</v>
      </c>
      <c r="H95" s="13" t="n">
        <v>0</v>
      </c>
      <c r="I95" s="13" t="n">
        <v>0</v>
      </c>
      <c r="J95" s="13" t="n">
        <v>0</v>
      </c>
    </row>
    <row r="96" customFormat="false" ht="15" hidden="false" customHeight="false" outlineLevel="0" collapsed="false">
      <c r="A96" s="4" t="s">
        <v>288</v>
      </c>
      <c r="B96" s="13" t="n">
        <v>0</v>
      </c>
      <c r="C96" s="13" t="n">
        <v>0</v>
      </c>
      <c r="D96" s="13" t="n">
        <v>0</v>
      </c>
      <c r="E96" s="13" t="n">
        <v>0</v>
      </c>
      <c r="F96" s="13" t="n">
        <v>0</v>
      </c>
      <c r="G96" s="13" t="n">
        <v>0</v>
      </c>
      <c r="H96" s="13" t="n">
        <v>0</v>
      </c>
      <c r="I96" s="13" t="n">
        <v>0</v>
      </c>
      <c r="J96" s="13" t="n">
        <v>0</v>
      </c>
    </row>
    <row r="97" customFormat="false" ht="15" hidden="false" customHeight="false" outlineLevel="0" collapsed="false">
      <c r="A97" s="4" t="s">
        <v>289</v>
      </c>
      <c r="B97" s="13" t="n">
        <v>0</v>
      </c>
      <c r="C97" s="13" t="n">
        <v>0</v>
      </c>
      <c r="D97" s="13" t="n">
        <v>0</v>
      </c>
      <c r="E97" s="13" t="n">
        <v>0</v>
      </c>
      <c r="F97" s="13" t="n">
        <v>0</v>
      </c>
      <c r="G97" s="13" t="n">
        <v>0</v>
      </c>
      <c r="H97" s="13" t="n">
        <v>0</v>
      </c>
      <c r="I97" s="13" t="n">
        <v>0</v>
      </c>
      <c r="J97" s="13" t="n">
        <v>0</v>
      </c>
    </row>
    <row r="98" customFormat="false" ht="15" hidden="false" customHeight="false" outlineLevel="0" collapsed="false">
      <c r="A98" s="4" t="s">
        <v>290</v>
      </c>
      <c r="B98" s="13" t="n">
        <v>0</v>
      </c>
      <c r="C98" s="13" t="n">
        <v>0</v>
      </c>
      <c r="D98" s="13" t="n">
        <v>0</v>
      </c>
      <c r="E98" s="13" t="n">
        <v>0</v>
      </c>
      <c r="F98" s="13" t="n">
        <v>0</v>
      </c>
      <c r="G98" s="13" t="n">
        <v>0</v>
      </c>
      <c r="H98" s="13" t="n">
        <v>0</v>
      </c>
      <c r="I98" s="13" t="n">
        <v>0</v>
      </c>
      <c r="J98" s="13" t="n">
        <v>0</v>
      </c>
    </row>
    <row r="99" customFormat="false" ht="15" hidden="false" customHeight="false" outlineLevel="0" collapsed="false">
      <c r="A99" s="4" t="s">
        <v>291</v>
      </c>
      <c r="B99" s="13" t="n">
        <v>0</v>
      </c>
      <c r="C99" s="13" t="n">
        <v>0</v>
      </c>
      <c r="D99" s="13" t="n">
        <v>0</v>
      </c>
      <c r="E99" s="13" t="n">
        <v>0</v>
      </c>
      <c r="F99" s="13" t="n">
        <v>0</v>
      </c>
      <c r="G99" s="13" t="n">
        <v>0</v>
      </c>
      <c r="H99" s="13" t="n">
        <v>0</v>
      </c>
      <c r="I99" s="13" t="n">
        <v>0</v>
      </c>
      <c r="J99" s="13" t="n">
        <v>0</v>
      </c>
    </row>
    <row r="100" customFormat="false" ht="15" hidden="false" customHeight="false" outlineLevel="0" collapsed="false">
      <c r="A100" s="4" t="s">
        <v>292</v>
      </c>
      <c r="B100" s="13" t="n">
        <v>0</v>
      </c>
      <c r="C100" s="13" t="n">
        <v>0</v>
      </c>
      <c r="D100" s="13" t="n">
        <v>0</v>
      </c>
      <c r="E100" s="13" t="n">
        <v>0</v>
      </c>
      <c r="F100" s="13" t="n">
        <v>0</v>
      </c>
      <c r="G100" s="13" t="n">
        <v>0</v>
      </c>
      <c r="H100" s="13" t="n">
        <v>0</v>
      </c>
      <c r="I100" s="13" t="n">
        <v>0</v>
      </c>
      <c r="J100" s="13" t="n">
        <v>0</v>
      </c>
    </row>
    <row r="101" customFormat="false" ht="15" hidden="false" customHeight="false" outlineLevel="0" collapsed="false">
      <c r="A101" s="4" t="s">
        <v>293</v>
      </c>
      <c r="B101" s="13" t="n">
        <v>8</v>
      </c>
      <c r="C101" s="13" t="n">
        <v>28</v>
      </c>
      <c r="D101" s="13" t="n">
        <v>3</v>
      </c>
      <c r="E101" s="13" t="n">
        <v>3</v>
      </c>
      <c r="F101" s="13" t="n">
        <v>3</v>
      </c>
      <c r="G101" s="13" t="n">
        <v>0</v>
      </c>
      <c r="H101" s="13" t="n">
        <v>0</v>
      </c>
      <c r="I101" s="13" t="n">
        <v>0</v>
      </c>
      <c r="J101" s="13" t="n">
        <v>0</v>
      </c>
    </row>
    <row r="102" customFormat="false" ht="15" hidden="false" customHeight="false" outlineLevel="0" collapsed="false">
      <c r="A102" s="4" t="s">
        <v>294</v>
      </c>
      <c r="B102" s="13" t="n">
        <v>6</v>
      </c>
      <c r="C102" s="13" t="n">
        <v>15</v>
      </c>
      <c r="D102" s="13" t="n">
        <v>0</v>
      </c>
      <c r="E102" s="13" t="n">
        <v>0</v>
      </c>
      <c r="F102" s="13" t="n">
        <v>0</v>
      </c>
      <c r="G102" s="13" t="n">
        <v>0</v>
      </c>
      <c r="H102" s="13" t="n">
        <v>0</v>
      </c>
      <c r="I102" s="13" t="n">
        <v>0</v>
      </c>
      <c r="J102" s="13" t="n">
        <v>0</v>
      </c>
    </row>
    <row r="103" customFormat="false" ht="15" hidden="false" customHeight="false" outlineLevel="0" collapsed="false">
      <c r="A103" s="4" t="s">
        <v>295</v>
      </c>
      <c r="B103" s="13" t="n">
        <v>9</v>
      </c>
      <c r="C103" s="13" t="n">
        <v>12</v>
      </c>
      <c r="D103" s="13" t="n">
        <v>0</v>
      </c>
      <c r="E103" s="13" t="n">
        <v>0</v>
      </c>
      <c r="F103" s="13" t="n">
        <v>0</v>
      </c>
      <c r="G103" s="13" t="n">
        <v>0</v>
      </c>
      <c r="H103" s="13" t="n">
        <v>0</v>
      </c>
      <c r="I103" s="13" t="n">
        <v>0</v>
      </c>
      <c r="J103" s="13" t="n">
        <v>0</v>
      </c>
    </row>
    <row r="104" customFormat="false" ht="15" hidden="false" customHeight="false" outlineLevel="0" collapsed="false">
      <c r="A104" s="4" t="s">
        <v>296</v>
      </c>
      <c r="B104" s="13" t="n">
        <v>0</v>
      </c>
      <c r="C104" s="13" t="n">
        <v>0</v>
      </c>
      <c r="D104" s="13" t="n">
        <v>0</v>
      </c>
      <c r="E104" s="13" t="n">
        <v>0</v>
      </c>
      <c r="F104" s="13" t="n">
        <v>0</v>
      </c>
      <c r="G104" s="13" t="n">
        <v>0</v>
      </c>
      <c r="H104" s="13" t="n">
        <v>0</v>
      </c>
      <c r="I104" s="13" t="n">
        <v>0</v>
      </c>
      <c r="J104" s="13" t="n">
        <v>0</v>
      </c>
    </row>
    <row r="105" customFormat="false" ht="15" hidden="false" customHeight="false" outlineLevel="0" collapsed="false">
      <c r="A105" s="4" t="s">
        <v>297</v>
      </c>
      <c r="B105" s="13" t="n">
        <v>0</v>
      </c>
      <c r="C105" s="13" t="n">
        <v>0</v>
      </c>
      <c r="D105" s="13" t="n">
        <v>0</v>
      </c>
      <c r="E105" s="13" t="n">
        <v>0</v>
      </c>
      <c r="F105" s="13" t="n">
        <v>0</v>
      </c>
      <c r="G105" s="13" t="n">
        <v>0</v>
      </c>
      <c r="H105" s="13" t="n">
        <v>0</v>
      </c>
      <c r="I105" s="13" t="n">
        <v>0</v>
      </c>
      <c r="J105" s="13" t="n">
        <v>0</v>
      </c>
    </row>
    <row r="106" customFormat="false" ht="15" hidden="false" customHeight="false" outlineLevel="0" collapsed="false">
      <c r="A106" s="4" t="s">
        <v>298</v>
      </c>
      <c r="B106" s="13" t="n">
        <v>0</v>
      </c>
      <c r="C106" s="13" t="n">
        <v>0</v>
      </c>
      <c r="D106" s="13" t="n">
        <v>0</v>
      </c>
      <c r="E106" s="13" t="n">
        <v>0</v>
      </c>
      <c r="F106" s="13" t="n">
        <v>0</v>
      </c>
      <c r="G106" s="13" t="n">
        <v>0</v>
      </c>
      <c r="H106" s="13" t="n">
        <v>0</v>
      </c>
      <c r="I106" s="13" t="n">
        <v>0</v>
      </c>
      <c r="J106" s="13" t="n">
        <v>0</v>
      </c>
    </row>
    <row r="107" customFormat="false" ht="15" hidden="false" customHeight="false" outlineLevel="0" collapsed="false">
      <c r="A107" s="4" t="s">
        <v>299</v>
      </c>
      <c r="B107" s="13" t="n">
        <v>0</v>
      </c>
      <c r="C107" s="13" t="n">
        <v>0</v>
      </c>
      <c r="D107" s="13" t="n">
        <v>0</v>
      </c>
      <c r="E107" s="13" t="n">
        <v>0</v>
      </c>
      <c r="F107" s="13" t="n">
        <v>0</v>
      </c>
      <c r="G107" s="13" t="n">
        <v>0</v>
      </c>
      <c r="H107" s="13" t="n">
        <v>0</v>
      </c>
      <c r="I107" s="13" t="n">
        <v>0</v>
      </c>
      <c r="J107" s="13" t="n">
        <v>0</v>
      </c>
    </row>
    <row r="108" customFormat="false" ht="15" hidden="false" customHeight="false" outlineLevel="0" collapsed="false">
      <c r="A108" s="4" t="s">
        <v>300</v>
      </c>
      <c r="B108" s="13" t="n">
        <v>1</v>
      </c>
      <c r="C108" s="13" t="n">
        <v>18</v>
      </c>
      <c r="D108" s="13" t="n">
        <v>0</v>
      </c>
      <c r="E108" s="13" t="n">
        <v>0</v>
      </c>
      <c r="F108" s="13" t="n">
        <v>0</v>
      </c>
      <c r="G108" s="13" t="n">
        <v>0</v>
      </c>
      <c r="H108" s="13" t="n">
        <v>0</v>
      </c>
      <c r="I108" s="13" t="n">
        <v>0</v>
      </c>
      <c r="J108" s="13" t="n">
        <v>0</v>
      </c>
    </row>
    <row r="109" customFormat="false" ht="15" hidden="false" customHeight="false" outlineLevel="0" collapsed="false">
      <c r="A109" s="4" t="s">
        <v>301</v>
      </c>
      <c r="B109" s="13" t="n">
        <v>8</v>
      </c>
      <c r="C109" s="13" t="n">
        <v>43</v>
      </c>
      <c r="D109" s="13" t="n">
        <v>4</v>
      </c>
      <c r="E109" s="13" t="n">
        <v>7</v>
      </c>
      <c r="F109" s="13" t="n">
        <v>7</v>
      </c>
      <c r="G109" s="13" t="n">
        <v>0</v>
      </c>
      <c r="H109" s="13" t="n">
        <v>0</v>
      </c>
      <c r="I109" s="13" t="n">
        <v>0</v>
      </c>
      <c r="J109" s="13" t="n">
        <v>0</v>
      </c>
    </row>
    <row r="110" customFormat="false" ht="15" hidden="false" customHeight="false" outlineLevel="0" collapsed="false">
      <c r="A110" s="4" t="s">
        <v>302</v>
      </c>
      <c r="B110" s="13" t="n">
        <v>2</v>
      </c>
      <c r="C110" s="13" t="n">
        <v>3</v>
      </c>
      <c r="D110" s="13" t="n">
        <v>0</v>
      </c>
      <c r="E110" s="13" t="n">
        <v>0</v>
      </c>
      <c r="F110" s="13" t="n">
        <v>0</v>
      </c>
      <c r="G110" s="13" t="n">
        <v>0</v>
      </c>
      <c r="H110" s="13" t="n">
        <v>0</v>
      </c>
      <c r="I110" s="13" t="n">
        <v>0</v>
      </c>
      <c r="J110" s="13" t="n">
        <v>0</v>
      </c>
    </row>
    <row r="111" customFormat="false" ht="15" hidden="false" customHeight="false" outlineLevel="0" collapsed="false">
      <c r="A111" s="4" t="s">
        <v>303</v>
      </c>
      <c r="B111" s="13" t="n">
        <v>10</v>
      </c>
      <c r="C111" s="13" t="n">
        <v>52</v>
      </c>
      <c r="D111" s="13" t="n">
        <v>1</v>
      </c>
      <c r="E111" s="13" t="n">
        <v>1</v>
      </c>
      <c r="F111" s="13" t="n">
        <v>1</v>
      </c>
      <c r="G111" s="13" t="n">
        <v>0</v>
      </c>
      <c r="H111" s="13" t="n">
        <v>0</v>
      </c>
      <c r="I111" s="13" t="n">
        <v>0</v>
      </c>
      <c r="J111" s="13" t="n">
        <v>0</v>
      </c>
    </row>
    <row r="112" customFormat="false" ht="15" hidden="false" customHeight="false" outlineLevel="0" collapsed="false">
      <c r="A112" s="4" t="s">
        <v>304</v>
      </c>
      <c r="B112" s="13" t="n">
        <v>1</v>
      </c>
      <c r="C112" s="13" t="n">
        <v>2</v>
      </c>
      <c r="D112" s="13" t="n">
        <v>0</v>
      </c>
      <c r="E112" s="13" t="n">
        <v>0</v>
      </c>
      <c r="F112" s="13" t="n">
        <v>0</v>
      </c>
      <c r="G112" s="13" t="n">
        <v>0</v>
      </c>
      <c r="H112" s="13" t="n">
        <v>0</v>
      </c>
      <c r="I112" s="13" t="n">
        <v>0</v>
      </c>
      <c r="J112" s="13" t="n">
        <v>0</v>
      </c>
    </row>
    <row r="113" customFormat="false" ht="15" hidden="false" customHeight="false" outlineLevel="0" collapsed="false">
      <c r="A113" s="4" t="s">
        <v>305</v>
      </c>
      <c r="B113" s="13" t="n">
        <v>0</v>
      </c>
      <c r="C113" s="13" t="n">
        <v>0</v>
      </c>
      <c r="D113" s="13" t="n">
        <v>0</v>
      </c>
      <c r="E113" s="13" t="n">
        <v>0</v>
      </c>
      <c r="F113" s="13" t="n">
        <v>0</v>
      </c>
      <c r="G113" s="13" t="n">
        <v>0</v>
      </c>
      <c r="H113" s="13" t="n">
        <v>0</v>
      </c>
      <c r="I113" s="13" t="n">
        <v>0</v>
      </c>
      <c r="J113" s="13" t="n">
        <v>0</v>
      </c>
    </row>
    <row r="114" customFormat="false" ht="15" hidden="false" customHeight="false" outlineLevel="0" collapsed="false">
      <c r="A114" s="4" t="s">
        <v>306</v>
      </c>
      <c r="B114" s="13" t="n">
        <v>1</v>
      </c>
      <c r="C114" s="13" t="n">
        <v>1</v>
      </c>
      <c r="D114" s="13" t="n">
        <v>0</v>
      </c>
      <c r="E114" s="13" t="n">
        <v>0</v>
      </c>
      <c r="F114" s="13" t="n">
        <v>0</v>
      </c>
      <c r="G114" s="13" t="n">
        <v>0</v>
      </c>
      <c r="H114" s="13" t="n">
        <v>0</v>
      </c>
      <c r="I114" s="13" t="n">
        <v>0</v>
      </c>
      <c r="J114" s="13" t="n">
        <v>0</v>
      </c>
    </row>
    <row r="115" customFormat="false" ht="15" hidden="false" customHeight="false" outlineLevel="0" collapsed="false">
      <c r="A115" s="4" t="s">
        <v>307</v>
      </c>
      <c r="B115" s="13" t="n">
        <v>1</v>
      </c>
      <c r="C115" s="13" t="n">
        <v>1</v>
      </c>
      <c r="D115" s="13" t="n">
        <v>0</v>
      </c>
      <c r="E115" s="13" t="n">
        <v>0</v>
      </c>
      <c r="F115" s="13" t="n">
        <v>0</v>
      </c>
      <c r="G115" s="13" t="n">
        <v>0</v>
      </c>
      <c r="H115" s="13" t="n">
        <v>0</v>
      </c>
      <c r="I115" s="13" t="n">
        <v>0</v>
      </c>
      <c r="J115" s="13" t="n">
        <v>0</v>
      </c>
    </row>
    <row r="116" customFormat="false" ht="15" hidden="false" customHeight="false" outlineLevel="0" collapsed="false">
      <c r="A116" s="4" t="s">
        <v>308</v>
      </c>
      <c r="B116" s="13" t="n">
        <v>11</v>
      </c>
      <c r="C116" s="13" t="n">
        <v>21</v>
      </c>
      <c r="D116" s="13" t="n">
        <v>3</v>
      </c>
      <c r="E116" s="13" t="n">
        <v>4</v>
      </c>
      <c r="F116" s="13" t="n">
        <v>2</v>
      </c>
      <c r="G116" s="13" t="n">
        <v>0</v>
      </c>
      <c r="H116" s="13" t="n">
        <v>0</v>
      </c>
      <c r="I116" s="13" t="n">
        <v>1</v>
      </c>
      <c r="J116" s="13" t="n">
        <v>0</v>
      </c>
    </row>
    <row r="117" customFormat="false" ht="15" hidden="false" customHeight="false" outlineLevel="0" collapsed="false">
      <c r="A117" s="4" t="s">
        <v>309</v>
      </c>
      <c r="B117" s="13" t="n">
        <v>3</v>
      </c>
      <c r="C117" s="13" t="n">
        <v>3</v>
      </c>
      <c r="D117" s="13" t="n">
        <v>1</v>
      </c>
      <c r="E117" s="13" t="n">
        <v>1</v>
      </c>
      <c r="F117" s="13" t="n">
        <v>1</v>
      </c>
      <c r="G117" s="13" t="n">
        <v>0</v>
      </c>
      <c r="H117" s="13" t="n">
        <v>0</v>
      </c>
      <c r="I117" s="13" t="n">
        <v>0</v>
      </c>
      <c r="J117" s="13" t="n">
        <v>0</v>
      </c>
    </row>
    <row r="118" customFormat="false" ht="15" hidden="false" customHeight="false" outlineLevel="0" collapsed="false">
      <c r="A118" s="4" t="s">
        <v>310</v>
      </c>
      <c r="B118" s="13" t="n">
        <v>0</v>
      </c>
      <c r="C118" s="13" t="n">
        <v>0</v>
      </c>
      <c r="D118" s="13" t="n">
        <v>0</v>
      </c>
      <c r="E118" s="13" t="n">
        <v>0</v>
      </c>
      <c r="F118" s="13" t="n">
        <v>0</v>
      </c>
      <c r="G118" s="13" t="n">
        <v>0</v>
      </c>
      <c r="H118" s="13" t="n">
        <v>0</v>
      </c>
      <c r="I118" s="13" t="n">
        <v>0</v>
      </c>
      <c r="J118" s="13" t="n">
        <v>0</v>
      </c>
    </row>
    <row r="119" customFormat="false" ht="15" hidden="false" customHeight="false" outlineLevel="0" collapsed="false">
      <c r="A119" s="4" t="s">
        <v>311</v>
      </c>
      <c r="B119" s="13" t="n">
        <v>0</v>
      </c>
      <c r="C119" s="13" t="n">
        <v>0</v>
      </c>
      <c r="D119" s="13" t="n">
        <v>0</v>
      </c>
      <c r="E119" s="13" t="n">
        <v>0</v>
      </c>
      <c r="F119" s="13" t="n">
        <v>0</v>
      </c>
      <c r="G119" s="13" t="n">
        <v>0</v>
      </c>
      <c r="H119" s="13" t="n">
        <v>0</v>
      </c>
      <c r="I119" s="13" t="n">
        <v>0</v>
      </c>
      <c r="J119" s="13" t="n">
        <v>0</v>
      </c>
    </row>
    <row r="120" customFormat="false" ht="15" hidden="false" customHeight="false" outlineLevel="0" collapsed="false">
      <c r="A120" s="4" t="s">
        <v>312</v>
      </c>
      <c r="B120" s="13" t="n">
        <v>1</v>
      </c>
      <c r="C120" s="13" t="n">
        <v>1</v>
      </c>
      <c r="D120" s="13" t="n">
        <v>0</v>
      </c>
      <c r="E120" s="13" t="n">
        <v>0</v>
      </c>
      <c r="F120" s="13" t="n">
        <v>0</v>
      </c>
      <c r="G120" s="13" t="n">
        <v>0</v>
      </c>
      <c r="H120" s="13" t="n">
        <v>0</v>
      </c>
      <c r="I120" s="13" t="n">
        <v>0</v>
      </c>
      <c r="J120" s="13" t="n">
        <v>0</v>
      </c>
    </row>
    <row r="121" customFormat="false" ht="15" hidden="false" customHeight="false" outlineLevel="0" collapsed="false">
      <c r="A121" s="4" t="s">
        <v>313</v>
      </c>
      <c r="B121" s="13" t="n">
        <v>2</v>
      </c>
      <c r="C121" s="13" t="n">
        <v>2</v>
      </c>
      <c r="D121" s="13" t="n">
        <v>0</v>
      </c>
      <c r="E121" s="13" t="n">
        <v>0</v>
      </c>
      <c r="F121" s="13" t="n">
        <v>0</v>
      </c>
      <c r="G121" s="13" t="n">
        <v>0</v>
      </c>
      <c r="H121" s="13" t="n">
        <v>0</v>
      </c>
      <c r="I121" s="13" t="n">
        <v>0</v>
      </c>
      <c r="J121" s="13" t="n">
        <v>0</v>
      </c>
    </row>
    <row r="122" customFormat="false" ht="15" hidden="false" customHeight="false" outlineLevel="0" collapsed="false">
      <c r="A122" s="4" t="s">
        <v>314</v>
      </c>
      <c r="B122" s="13" t="n">
        <v>0</v>
      </c>
      <c r="C122" s="13" t="n">
        <v>0</v>
      </c>
      <c r="D122" s="13" t="n">
        <v>0</v>
      </c>
      <c r="E122" s="13" t="n">
        <v>0</v>
      </c>
      <c r="F122" s="13" t="n">
        <v>0</v>
      </c>
      <c r="G122" s="13" t="n">
        <v>0</v>
      </c>
      <c r="H122" s="13" t="n">
        <v>0</v>
      </c>
      <c r="I122" s="13" t="n">
        <v>0</v>
      </c>
      <c r="J122" s="13" t="n">
        <v>0</v>
      </c>
    </row>
    <row r="123" customFormat="false" ht="15" hidden="false" customHeight="false" outlineLevel="0" collapsed="false">
      <c r="A123" s="4" t="s">
        <v>315</v>
      </c>
      <c r="B123" s="13" t="n">
        <v>1</v>
      </c>
      <c r="C123" s="13" t="n">
        <v>2</v>
      </c>
      <c r="D123" s="13" t="n">
        <v>0</v>
      </c>
      <c r="E123" s="13" t="n">
        <v>0</v>
      </c>
      <c r="F123" s="13" t="n">
        <v>0</v>
      </c>
      <c r="G123" s="13" t="n">
        <v>0</v>
      </c>
      <c r="H123" s="13" t="n">
        <v>0</v>
      </c>
      <c r="I123" s="13" t="n">
        <v>0</v>
      </c>
      <c r="J123" s="13" t="n">
        <v>0</v>
      </c>
    </row>
    <row r="124" customFormat="false" ht="15" hidden="false" customHeight="false" outlineLevel="0" collapsed="false">
      <c r="A124" s="4" t="s">
        <v>316</v>
      </c>
      <c r="B124" s="13" t="n">
        <v>0</v>
      </c>
      <c r="C124" s="13" t="n">
        <v>0</v>
      </c>
      <c r="D124" s="13" t="n">
        <v>0</v>
      </c>
      <c r="E124" s="13" t="n">
        <v>0</v>
      </c>
      <c r="F124" s="13" t="n">
        <v>0</v>
      </c>
      <c r="G124" s="13" t="n">
        <v>0</v>
      </c>
      <c r="H124" s="13" t="n">
        <v>0</v>
      </c>
      <c r="I124" s="13" t="n">
        <v>0</v>
      </c>
      <c r="J124" s="13" t="n">
        <v>0</v>
      </c>
    </row>
    <row r="125" customFormat="false" ht="15" hidden="false" customHeight="false" outlineLevel="0" collapsed="false">
      <c r="A125" s="4" t="s">
        <v>317</v>
      </c>
      <c r="B125" s="13" t="n">
        <v>1</v>
      </c>
      <c r="C125" s="13" t="n">
        <v>1</v>
      </c>
      <c r="D125" s="13" t="n">
        <v>0</v>
      </c>
      <c r="E125" s="13" t="n">
        <v>0</v>
      </c>
      <c r="F125" s="13" t="n">
        <v>0</v>
      </c>
      <c r="G125" s="13" t="n">
        <v>0</v>
      </c>
      <c r="H125" s="13" t="n">
        <v>0</v>
      </c>
      <c r="I125" s="13" t="n">
        <v>0</v>
      </c>
      <c r="J125" s="13" t="n">
        <v>0</v>
      </c>
    </row>
    <row r="126" customFormat="false" ht="15" hidden="false" customHeight="false" outlineLevel="0" collapsed="false">
      <c r="A126" s="4" t="s">
        <v>318</v>
      </c>
      <c r="B126" s="13" t="n">
        <v>0</v>
      </c>
      <c r="C126" s="13" t="n">
        <v>0</v>
      </c>
      <c r="D126" s="13" t="n">
        <v>0</v>
      </c>
      <c r="E126" s="13" t="n">
        <v>0</v>
      </c>
      <c r="F126" s="13" t="n">
        <v>0</v>
      </c>
      <c r="G126" s="13" t="n">
        <v>0</v>
      </c>
      <c r="H126" s="13" t="n">
        <v>0</v>
      </c>
      <c r="I126" s="13" t="n">
        <v>0</v>
      </c>
      <c r="J126" s="13" t="n">
        <v>0</v>
      </c>
    </row>
    <row r="127" customFormat="false" ht="15" hidden="false" customHeight="false" outlineLevel="0" collapsed="false">
      <c r="A127" s="4" t="s">
        <v>319</v>
      </c>
      <c r="B127" s="13" t="n">
        <v>0</v>
      </c>
      <c r="C127" s="13" t="n">
        <v>0</v>
      </c>
      <c r="D127" s="13" t="n">
        <v>0</v>
      </c>
      <c r="E127" s="13" t="n">
        <v>0</v>
      </c>
      <c r="F127" s="13" t="n">
        <v>0</v>
      </c>
      <c r="G127" s="13" t="n">
        <v>0</v>
      </c>
      <c r="H127" s="13" t="n">
        <v>0</v>
      </c>
      <c r="I127" s="13" t="n">
        <v>0</v>
      </c>
      <c r="J127" s="13" t="n">
        <v>0</v>
      </c>
    </row>
    <row r="128" customFormat="false" ht="15" hidden="false" customHeight="false" outlineLevel="0" collapsed="false">
      <c r="A128" s="4" t="s">
        <v>320</v>
      </c>
      <c r="B128" s="13" t="n">
        <v>0</v>
      </c>
      <c r="C128" s="13" t="n">
        <v>0</v>
      </c>
      <c r="D128" s="13" t="n">
        <v>0</v>
      </c>
      <c r="E128" s="13" t="n">
        <v>0</v>
      </c>
      <c r="F128" s="13" t="n">
        <v>0</v>
      </c>
      <c r="G128" s="13" t="n">
        <v>0</v>
      </c>
      <c r="H128" s="13" t="n">
        <v>0</v>
      </c>
      <c r="I128" s="13" t="n">
        <v>0</v>
      </c>
      <c r="J128" s="13" t="n">
        <v>0</v>
      </c>
    </row>
    <row r="129" customFormat="false" ht="15" hidden="false" customHeight="false" outlineLevel="0" collapsed="false">
      <c r="A129" s="4" t="s">
        <v>321</v>
      </c>
      <c r="B129" s="13" t="n">
        <v>0</v>
      </c>
      <c r="C129" s="13" t="n">
        <v>0</v>
      </c>
      <c r="D129" s="13" t="n">
        <v>0</v>
      </c>
      <c r="E129" s="13" t="n">
        <v>0</v>
      </c>
      <c r="F129" s="13" t="n">
        <v>0</v>
      </c>
      <c r="G129" s="13" t="n">
        <v>0</v>
      </c>
      <c r="H129" s="13" t="n">
        <v>0</v>
      </c>
      <c r="I129" s="13" t="n">
        <v>0</v>
      </c>
      <c r="J129" s="13" t="n">
        <v>0</v>
      </c>
    </row>
    <row r="130" customFormat="false" ht="15" hidden="false" customHeight="false" outlineLevel="0" collapsed="false">
      <c r="A130" s="4" t="s">
        <v>322</v>
      </c>
      <c r="B130" s="13" t="n">
        <v>1</v>
      </c>
      <c r="C130" s="13" t="n">
        <v>2</v>
      </c>
      <c r="D130" s="13" t="n">
        <v>0</v>
      </c>
      <c r="E130" s="13" t="n">
        <v>0</v>
      </c>
      <c r="F130" s="13" t="n">
        <v>0</v>
      </c>
      <c r="G130" s="13" t="n">
        <v>0</v>
      </c>
      <c r="H130" s="13" t="n">
        <v>0</v>
      </c>
      <c r="I130" s="13" t="n">
        <v>0</v>
      </c>
      <c r="J130" s="13" t="n">
        <v>0</v>
      </c>
    </row>
    <row r="131" customFormat="false" ht="15" hidden="false" customHeight="false" outlineLevel="0" collapsed="false">
      <c r="A131" s="4" t="s">
        <v>323</v>
      </c>
      <c r="B131" s="13" t="n">
        <v>0</v>
      </c>
      <c r="C131" s="13" t="n">
        <v>0</v>
      </c>
      <c r="D131" s="13" t="n">
        <v>0</v>
      </c>
      <c r="E131" s="13" t="n">
        <v>0</v>
      </c>
      <c r="F131" s="13" t="n">
        <v>0</v>
      </c>
      <c r="G131" s="13" t="n">
        <v>0</v>
      </c>
      <c r="H131" s="13" t="n">
        <v>0</v>
      </c>
      <c r="I131" s="13" t="n">
        <v>0</v>
      </c>
      <c r="J131" s="13" t="n">
        <v>0</v>
      </c>
    </row>
    <row r="132" customFormat="false" ht="15" hidden="false" customHeight="false" outlineLevel="0" collapsed="false">
      <c r="A132" s="4" t="s">
        <v>324</v>
      </c>
      <c r="B132" s="13" t="n">
        <v>0</v>
      </c>
      <c r="C132" s="13" t="n">
        <v>0</v>
      </c>
      <c r="D132" s="13" t="n">
        <v>0</v>
      </c>
      <c r="E132" s="13" t="n">
        <v>0</v>
      </c>
      <c r="F132" s="13" t="n">
        <v>0</v>
      </c>
      <c r="G132" s="13" t="n">
        <v>0</v>
      </c>
      <c r="H132" s="13" t="n">
        <v>0</v>
      </c>
      <c r="I132" s="13" t="n">
        <v>0</v>
      </c>
      <c r="J132" s="13" t="n">
        <v>0</v>
      </c>
    </row>
    <row r="133" customFormat="false" ht="15" hidden="false" customHeight="false" outlineLevel="0" collapsed="false">
      <c r="A133" s="4" t="s">
        <v>325</v>
      </c>
      <c r="B133" s="13" t="n">
        <v>0</v>
      </c>
      <c r="C133" s="13" t="n">
        <v>0</v>
      </c>
      <c r="D133" s="13" t="n">
        <v>0</v>
      </c>
      <c r="E133" s="13" t="n">
        <v>0</v>
      </c>
      <c r="F133" s="13" t="n">
        <v>0</v>
      </c>
      <c r="G133" s="13" t="n">
        <v>0</v>
      </c>
      <c r="H133" s="13" t="n">
        <v>0</v>
      </c>
      <c r="I133" s="13" t="n">
        <v>0</v>
      </c>
      <c r="J133" s="13" t="n">
        <v>0</v>
      </c>
    </row>
    <row r="134" customFormat="false" ht="15" hidden="false" customHeight="false" outlineLevel="0" collapsed="false">
      <c r="A134" s="4" t="s">
        <v>326</v>
      </c>
      <c r="B134" s="13" t="n">
        <v>0</v>
      </c>
      <c r="C134" s="13" t="n">
        <v>0</v>
      </c>
      <c r="D134" s="13" t="n">
        <v>0</v>
      </c>
      <c r="E134" s="13" t="n">
        <v>0</v>
      </c>
      <c r="F134" s="13" t="n">
        <v>0</v>
      </c>
      <c r="G134" s="13" t="n">
        <v>0</v>
      </c>
      <c r="H134" s="13" t="n">
        <v>0</v>
      </c>
      <c r="I134" s="13" t="n">
        <v>0</v>
      </c>
      <c r="J134" s="13" t="n">
        <v>0</v>
      </c>
    </row>
    <row r="135" customFormat="false" ht="15" hidden="false" customHeight="false" outlineLevel="0" collapsed="false">
      <c r="A135" s="4" t="s">
        <v>327</v>
      </c>
      <c r="B135" s="13" t="n">
        <v>0</v>
      </c>
      <c r="C135" s="13" t="n">
        <v>0</v>
      </c>
      <c r="D135" s="13" t="n">
        <v>0</v>
      </c>
      <c r="E135" s="13" t="n">
        <v>0</v>
      </c>
      <c r="F135" s="13" t="n">
        <v>0</v>
      </c>
      <c r="G135" s="13" t="n">
        <v>0</v>
      </c>
      <c r="H135" s="13" t="n">
        <v>0</v>
      </c>
      <c r="I135" s="13" t="n">
        <v>0</v>
      </c>
      <c r="J135" s="13" t="n">
        <v>0</v>
      </c>
    </row>
    <row r="136" customFormat="false" ht="15" hidden="false" customHeight="false" outlineLevel="0" collapsed="false">
      <c r="A136" s="4" t="s">
        <v>328</v>
      </c>
      <c r="B136" s="13" t="n">
        <v>0</v>
      </c>
      <c r="C136" s="13" t="n">
        <v>0</v>
      </c>
      <c r="D136" s="13" t="n">
        <v>0</v>
      </c>
      <c r="E136" s="13" t="n">
        <v>0</v>
      </c>
      <c r="F136" s="13" t="n">
        <v>0</v>
      </c>
      <c r="G136" s="13" t="n">
        <v>0</v>
      </c>
      <c r="H136" s="13" t="n">
        <v>0</v>
      </c>
      <c r="I136" s="13" t="n">
        <v>0</v>
      </c>
      <c r="J136" s="13" t="n">
        <v>0</v>
      </c>
    </row>
    <row r="137" customFormat="false" ht="15" hidden="false" customHeight="false" outlineLevel="0" collapsed="false">
      <c r="A137" s="4" t="s">
        <v>329</v>
      </c>
      <c r="B137" s="13" t="n">
        <v>7</v>
      </c>
      <c r="C137" s="13" t="n">
        <v>15</v>
      </c>
      <c r="D137" s="13" t="n">
        <v>2</v>
      </c>
      <c r="E137" s="13" t="n">
        <v>3</v>
      </c>
      <c r="F137" s="13" t="n">
        <v>3</v>
      </c>
      <c r="G137" s="13" t="n">
        <v>0</v>
      </c>
      <c r="H137" s="13" t="n">
        <v>0</v>
      </c>
      <c r="I137" s="13" t="n">
        <v>0</v>
      </c>
      <c r="J137" s="13" t="n">
        <v>0</v>
      </c>
    </row>
    <row r="138" customFormat="false" ht="15" hidden="false" customHeight="false" outlineLevel="0" collapsed="false">
      <c r="A138" s="4" t="s">
        <v>330</v>
      </c>
      <c r="B138" s="13" t="n">
        <v>4</v>
      </c>
      <c r="C138" s="13" t="n">
        <v>8</v>
      </c>
      <c r="D138" s="13" t="n">
        <v>2</v>
      </c>
      <c r="E138" s="13" t="n">
        <v>2</v>
      </c>
      <c r="F138" s="13" t="n">
        <v>2</v>
      </c>
      <c r="G138" s="13" t="n">
        <v>0</v>
      </c>
      <c r="H138" s="13" t="n">
        <v>0</v>
      </c>
      <c r="I138" s="13" t="n">
        <v>0</v>
      </c>
      <c r="J138" s="13" t="n">
        <v>0</v>
      </c>
    </row>
    <row r="139" customFormat="false" ht="15" hidden="false" customHeight="false" outlineLevel="0" collapsed="false">
      <c r="A139" s="4" t="s">
        <v>331</v>
      </c>
      <c r="B139" s="13" t="n">
        <v>0</v>
      </c>
      <c r="C139" s="13" t="n">
        <v>0</v>
      </c>
      <c r="D139" s="13" t="n">
        <v>0</v>
      </c>
      <c r="E139" s="13" t="n">
        <v>0</v>
      </c>
      <c r="F139" s="13" t="n">
        <v>0</v>
      </c>
      <c r="G139" s="13" t="n">
        <v>0</v>
      </c>
      <c r="H139" s="13" t="n">
        <v>0</v>
      </c>
      <c r="I139" s="13" t="n">
        <v>0</v>
      </c>
      <c r="J139" s="13" t="n">
        <v>0</v>
      </c>
    </row>
    <row r="140" customFormat="false" ht="15" hidden="false" customHeight="false" outlineLevel="0" collapsed="false">
      <c r="A140" s="4" t="s">
        <v>332</v>
      </c>
      <c r="B140" s="13" t="n">
        <v>0</v>
      </c>
      <c r="C140" s="13" t="n">
        <v>0</v>
      </c>
      <c r="D140" s="13" t="n">
        <v>0</v>
      </c>
      <c r="E140" s="13" t="n">
        <v>0</v>
      </c>
      <c r="F140" s="13" t="n">
        <v>0</v>
      </c>
      <c r="G140" s="13" t="n">
        <v>0</v>
      </c>
      <c r="H140" s="13" t="n">
        <v>0</v>
      </c>
      <c r="I140" s="13" t="n">
        <v>0</v>
      </c>
      <c r="J140" s="13" t="n">
        <v>0</v>
      </c>
    </row>
    <row r="141" customFormat="false" ht="15" hidden="false" customHeight="false" outlineLevel="0" collapsed="false">
      <c r="A141" s="4" t="s">
        <v>333</v>
      </c>
      <c r="B141" s="13" t="n">
        <v>0</v>
      </c>
      <c r="C141" s="13" t="n">
        <v>0</v>
      </c>
      <c r="D141" s="13" t="n">
        <v>0</v>
      </c>
      <c r="E141" s="13" t="n">
        <v>0</v>
      </c>
      <c r="F141" s="13" t="n">
        <v>0</v>
      </c>
      <c r="G141" s="13" t="n">
        <v>0</v>
      </c>
      <c r="H141" s="13" t="n">
        <v>0</v>
      </c>
      <c r="I141" s="13" t="n">
        <v>0</v>
      </c>
      <c r="J141" s="13" t="n">
        <v>0</v>
      </c>
    </row>
    <row r="142" customFormat="false" ht="15" hidden="false" customHeight="false" outlineLevel="0" collapsed="false">
      <c r="A142" s="4" t="s">
        <v>334</v>
      </c>
      <c r="B142" s="13" t="n">
        <v>0</v>
      </c>
      <c r="C142" s="13" t="n">
        <v>0</v>
      </c>
      <c r="D142" s="13" t="n">
        <v>0</v>
      </c>
      <c r="E142" s="13" t="n">
        <v>0</v>
      </c>
      <c r="F142" s="13" t="n">
        <v>0</v>
      </c>
      <c r="G142" s="13" t="n">
        <v>0</v>
      </c>
      <c r="H142" s="13" t="n">
        <v>0</v>
      </c>
      <c r="I142" s="13" t="n">
        <v>0</v>
      </c>
      <c r="J142" s="13" t="n">
        <v>0</v>
      </c>
    </row>
    <row r="143" customFormat="false" ht="15" hidden="false" customHeight="false" outlineLevel="0" collapsed="false">
      <c r="A143" s="4" t="s">
        <v>335</v>
      </c>
      <c r="B143" s="13" t="n">
        <v>1</v>
      </c>
      <c r="C143" s="13" t="n">
        <v>4</v>
      </c>
      <c r="D143" s="13" t="n">
        <v>0</v>
      </c>
      <c r="E143" s="13" t="n">
        <v>0</v>
      </c>
      <c r="F143" s="13" t="n">
        <v>0</v>
      </c>
      <c r="G143" s="13" t="n">
        <v>0</v>
      </c>
      <c r="H143" s="13" t="n">
        <v>0</v>
      </c>
      <c r="I143" s="13" t="n">
        <v>0</v>
      </c>
      <c r="J143" s="13" t="n">
        <v>0</v>
      </c>
    </row>
    <row r="144" customFormat="false" ht="15" hidden="false" customHeight="false" outlineLevel="0" collapsed="false">
      <c r="A144" s="4" t="s">
        <v>336</v>
      </c>
      <c r="B144" s="13" t="n">
        <v>0</v>
      </c>
      <c r="C144" s="13" t="n">
        <v>0</v>
      </c>
      <c r="D144" s="13" t="n">
        <v>0</v>
      </c>
      <c r="E144" s="13" t="n">
        <v>0</v>
      </c>
      <c r="F144" s="13" t="n">
        <v>0</v>
      </c>
      <c r="G144" s="13" t="n">
        <v>0</v>
      </c>
      <c r="H144" s="13" t="n">
        <v>0</v>
      </c>
      <c r="I144" s="13" t="n">
        <v>0</v>
      </c>
      <c r="J144" s="13" t="n">
        <v>0</v>
      </c>
    </row>
    <row r="145" customFormat="false" ht="15" hidden="false" customHeight="false" outlineLevel="0" collapsed="false">
      <c r="A145" s="4" t="s">
        <v>337</v>
      </c>
      <c r="B145" s="13" t="n">
        <v>0</v>
      </c>
      <c r="C145" s="13" t="n">
        <v>0</v>
      </c>
      <c r="D145" s="13" t="n">
        <v>0</v>
      </c>
      <c r="E145" s="13" t="n">
        <v>0</v>
      </c>
      <c r="F145" s="13" t="n">
        <v>0</v>
      </c>
      <c r="G145" s="13" t="n">
        <v>0</v>
      </c>
      <c r="H145" s="13" t="n">
        <v>0</v>
      </c>
      <c r="I145" s="13" t="n">
        <v>0</v>
      </c>
      <c r="J145" s="13" t="n">
        <v>0</v>
      </c>
    </row>
    <row r="146" customFormat="false" ht="15" hidden="false" customHeight="false" outlineLevel="0" collapsed="false">
      <c r="A146" s="4" t="s">
        <v>338</v>
      </c>
      <c r="B146" s="13" t="n">
        <v>0</v>
      </c>
      <c r="C146" s="13" t="n">
        <v>0</v>
      </c>
      <c r="D146" s="13" t="n">
        <v>0</v>
      </c>
      <c r="E146" s="13" t="n">
        <v>0</v>
      </c>
      <c r="F146" s="13" t="n">
        <v>0</v>
      </c>
      <c r="G146" s="13" t="n">
        <v>0</v>
      </c>
      <c r="H146" s="13" t="n">
        <v>0</v>
      </c>
      <c r="I146" s="13" t="n">
        <v>0</v>
      </c>
      <c r="J146" s="13" t="n">
        <v>0</v>
      </c>
    </row>
    <row r="147" customFormat="false" ht="15" hidden="false" customHeight="false" outlineLevel="0" collapsed="false">
      <c r="A147" s="4" t="s">
        <v>339</v>
      </c>
      <c r="B147" s="13" t="n">
        <v>0</v>
      </c>
      <c r="C147" s="13" t="n">
        <v>0</v>
      </c>
      <c r="D147" s="13" t="n">
        <v>0</v>
      </c>
      <c r="E147" s="13" t="n">
        <v>0</v>
      </c>
      <c r="F147" s="13" t="n">
        <v>0</v>
      </c>
      <c r="G147" s="13" t="n">
        <v>0</v>
      </c>
      <c r="H147" s="13" t="n">
        <v>0</v>
      </c>
      <c r="I147" s="13" t="n">
        <v>0</v>
      </c>
      <c r="J147" s="13" t="n">
        <v>0</v>
      </c>
    </row>
    <row r="148" customFormat="false" ht="15" hidden="false" customHeight="false" outlineLevel="0" collapsed="false">
      <c r="A148" s="4" t="s">
        <v>340</v>
      </c>
      <c r="B148" s="13" t="n">
        <v>0</v>
      </c>
      <c r="C148" s="13" t="n">
        <v>0</v>
      </c>
      <c r="D148" s="13" t="n">
        <v>0</v>
      </c>
      <c r="E148" s="13" t="n">
        <v>0</v>
      </c>
      <c r="F148" s="13" t="n">
        <v>0</v>
      </c>
      <c r="G148" s="13" t="n">
        <v>0</v>
      </c>
      <c r="H148" s="13" t="n">
        <v>0</v>
      </c>
      <c r="I148" s="13" t="n">
        <v>0</v>
      </c>
      <c r="J148" s="13" t="n">
        <v>0</v>
      </c>
    </row>
    <row r="149" customFormat="false" ht="15" hidden="false" customHeight="false" outlineLevel="0" collapsed="false">
      <c r="A149" s="4" t="s">
        <v>341</v>
      </c>
      <c r="B149" s="13" t="n">
        <v>0</v>
      </c>
      <c r="C149" s="13" t="n">
        <v>3</v>
      </c>
      <c r="D149" s="13" t="n">
        <v>0</v>
      </c>
      <c r="E149" s="13" t="n">
        <v>0</v>
      </c>
      <c r="F149" s="13" t="n">
        <v>0</v>
      </c>
      <c r="G149" s="13" t="n">
        <v>0</v>
      </c>
      <c r="H149" s="13" t="n">
        <v>0</v>
      </c>
      <c r="I149" s="13" t="n">
        <v>0</v>
      </c>
      <c r="J149" s="13" t="n">
        <v>0</v>
      </c>
    </row>
    <row r="150" customFormat="false" ht="15" hidden="false" customHeight="false" outlineLevel="0" collapsed="false">
      <c r="A150" s="4" t="s">
        <v>342</v>
      </c>
      <c r="B150" s="13" t="n">
        <v>0</v>
      </c>
      <c r="C150" s="13" t="n">
        <v>0</v>
      </c>
      <c r="D150" s="13" t="n">
        <v>0</v>
      </c>
      <c r="E150" s="13" t="n">
        <v>0</v>
      </c>
      <c r="F150" s="13" t="n">
        <v>0</v>
      </c>
      <c r="G150" s="13" t="n">
        <v>0</v>
      </c>
      <c r="H150" s="13" t="n">
        <v>0</v>
      </c>
      <c r="I150" s="13" t="n">
        <v>0</v>
      </c>
      <c r="J150" s="13" t="n">
        <v>0</v>
      </c>
    </row>
    <row r="151" customFormat="false" ht="15" hidden="false" customHeight="false" outlineLevel="0" collapsed="false">
      <c r="A151" s="4" t="s">
        <v>343</v>
      </c>
      <c r="B151" s="13" t="n">
        <v>211</v>
      </c>
      <c r="C151" s="13" t="n">
        <v>239</v>
      </c>
      <c r="D151" s="13" t="n">
        <v>5</v>
      </c>
      <c r="E151" s="13" t="n">
        <v>7</v>
      </c>
      <c r="F151" s="13" t="n">
        <v>5</v>
      </c>
      <c r="G151" s="13" t="n">
        <v>0</v>
      </c>
      <c r="H151" s="13" t="n">
        <v>0</v>
      </c>
      <c r="I151" s="13" t="n">
        <v>1</v>
      </c>
      <c r="J151" s="13" t="n">
        <v>0</v>
      </c>
    </row>
    <row r="152" customFormat="false" ht="15" hidden="false" customHeight="false" outlineLevel="0" collapsed="false">
      <c r="A152" s="4" t="s">
        <v>97</v>
      </c>
      <c r="B152" s="13" t="n">
        <v>64</v>
      </c>
      <c r="C152" s="13" t="n">
        <v>77</v>
      </c>
      <c r="D152" s="13" t="n">
        <v>1</v>
      </c>
      <c r="E152" s="13" t="n">
        <v>1</v>
      </c>
      <c r="F152" s="13" t="n">
        <v>1</v>
      </c>
      <c r="G152" s="13" t="n">
        <v>0</v>
      </c>
      <c r="H152" s="13" t="n">
        <v>0</v>
      </c>
      <c r="I152" s="13" t="n">
        <v>0</v>
      </c>
      <c r="J152" s="13" t="n">
        <v>0</v>
      </c>
    </row>
    <row r="153" customFormat="false" ht="15" hidden="false" customHeight="false" outlineLevel="0" collapsed="false">
      <c r="A153" s="4" t="s">
        <v>99</v>
      </c>
      <c r="B153" s="13" t="n">
        <v>15</v>
      </c>
      <c r="C153" s="13" t="n">
        <v>16</v>
      </c>
      <c r="D153" s="13" t="n">
        <v>0</v>
      </c>
      <c r="E153" s="13" t="n">
        <v>0</v>
      </c>
      <c r="F153" s="13" t="n">
        <v>0</v>
      </c>
      <c r="G153" s="13" t="n">
        <v>0</v>
      </c>
      <c r="H153" s="13" t="n">
        <v>0</v>
      </c>
      <c r="I153" s="13" t="n">
        <v>0</v>
      </c>
      <c r="J153" s="13" t="n">
        <v>0</v>
      </c>
    </row>
    <row r="154" customFormat="false" ht="15" hidden="false" customHeight="false" outlineLevel="0" collapsed="false">
      <c r="A154" s="4" t="s">
        <v>100</v>
      </c>
      <c r="B154" s="13" t="n">
        <v>2</v>
      </c>
      <c r="C154" s="13" t="n">
        <v>4</v>
      </c>
      <c r="D154" s="13" t="n">
        <v>0</v>
      </c>
      <c r="E154" s="13" t="n">
        <v>0</v>
      </c>
      <c r="F154" s="13" t="n">
        <v>0</v>
      </c>
      <c r="G154" s="13" t="n">
        <v>0</v>
      </c>
      <c r="H154" s="13" t="n">
        <v>0</v>
      </c>
      <c r="I154" s="13" t="n">
        <v>0</v>
      </c>
      <c r="J154" s="13" t="n">
        <v>0</v>
      </c>
    </row>
    <row r="155" customFormat="false" ht="15" hidden="false" customHeight="false" outlineLevel="0" collapsed="false">
      <c r="A155" s="4" t="s">
        <v>101</v>
      </c>
      <c r="B155" s="13" t="n">
        <v>0</v>
      </c>
      <c r="C155" s="13" t="n">
        <v>0</v>
      </c>
      <c r="D155" s="13" t="n">
        <v>0</v>
      </c>
      <c r="E155" s="13" t="n">
        <v>0</v>
      </c>
      <c r="F155" s="13" t="n">
        <v>0</v>
      </c>
      <c r="G155" s="13" t="n">
        <v>0</v>
      </c>
      <c r="H155" s="13" t="n">
        <v>0</v>
      </c>
      <c r="I155" s="13" t="n">
        <v>0</v>
      </c>
      <c r="J155" s="13" t="n">
        <v>0</v>
      </c>
    </row>
    <row r="156" customFormat="false" ht="15" hidden="false" customHeight="false" outlineLevel="0" collapsed="false">
      <c r="A156" s="4" t="s">
        <v>102</v>
      </c>
      <c r="B156" s="13" t="n">
        <v>0</v>
      </c>
      <c r="C156" s="13" t="n">
        <v>1</v>
      </c>
      <c r="D156" s="13" t="n">
        <v>0</v>
      </c>
      <c r="E156" s="13" t="n">
        <v>0</v>
      </c>
      <c r="F156" s="13" t="n">
        <v>0</v>
      </c>
      <c r="G156" s="13" t="n">
        <v>0</v>
      </c>
      <c r="H156" s="13" t="n">
        <v>0</v>
      </c>
      <c r="I156" s="13" t="n">
        <v>0</v>
      </c>
      <c r="J156" s="13" t="n">
        <v>0</v>
      </c>
    </row>
    <row r="157" customFormat="false" ht="15" hidden="false" customHeight="false" outlineLevel="0" collapsed="false">
      <c r="A157" s="4" t="s">
        <v>103</v>
      </c>
      <c r="B157" s="13" t="n">
        <v>1</v>
      </c>
      <c r="C157" s="13" t="n">
        <v>1</v>
      </c>
      <c r="D157" s="13" t="n">
        <v>0</v>
      </c>
      <c r="E157" s="13" t="n">
        <v>0</v>
      </c>
      <c r="F157" s="13" t="n">
        <v>0</v>
      </c>
      <c r="G157" s="13" t="n">
        <v>0</v>
      </c>
      <c r="H157" s="13" t="n">
        <v>0</v>
      </c>
      <c r="I157" s="13" t="n">
        <v>0</v>
      </c>
      <c r="J157" s="13" t="n">
        <v>0</v>
      </c>
    </row>
    <row r="158" customFormat="false" ht="15" hidden="false" customHeight="false" outlineLevel="0" collapsed="false">
      <c r="A158" s="4" t="s">
        <v>104</v>
      </c>
      <c r="B158" s="13" t="n">
        <v>0</v>
      </c>
      <c r="C158" s="13" t="n">
        <v>0</v>
      </c>
      <c r="D158" s="13" t="n">
        <v>0</v>
      </c>
      <c r="E158" s="13" t="n">
        <v>0</v>
      </c>
      <c r="F158" s="13" t="n">
        <v>0</v>
      </c>
      <c r="G158" s="13" t="n">
        <v>0</v>
      </c>
      <c r="H158" s="13" t="n">
        <v>0</v>
      </c>
      <c r="I158" s="13" t="n">
        <v>0</v>
      </c>
      <c r="J158" s="13" t="n">
        <v>0</v>
      </c>
    </row>
    <row r="159" customFormat="false" ht="15" hidden="false" customHeight="false" outlineLevel="0" collapsed="false">
      <c r="A159" s="4" t="s">
        <v>105</v>
      </c>
      <c r="B159" s="13" t="n">
        <v>2</v>
      </c>
      <c r="C159" s="13" t="n">
        <v>4</v>
      </c>
      <c r="D159" s="13" t="n">
        <v>0</v>
      </c>
      <c r="E159" s="13" t="n">
        <v>0</v>
      </c>
      <c r="F159" s="13" t="n">
        <v>0</v>
      </c>
      <c r="G159" s="13" t="n">
        <v>0</v>
      </c>
      <c r="H159" s="13" t="n">
        <v>0</v>
      </c>
      <c r="I159" s="13" t="n">
        <v>0</v>
      </c>
      <c r="J159" s="13" t="n">
        <v>0</v>
      </c>
    </row>
    <row r="160" customFormat="false" ht="15" hidden="false" customHeight="false" outlineLevel="0" collapsed="false">
      <c r="A160" s="4" t="s">
        <v>106</v>
      </c>
      <c r="B160" s="13" t="n">
        <v>0</v>
      </c>
      <c r="C160" s="13" t="n">
        <v>0</v>
      </c>
      <c r="D160" s="13" t="n">
        <v>0</v>
      </c>
      <c r="E160" s="13" t="n">
        <v>0</v>
      </c>
      <c r="F160" s="13" t="n">
        <v>0</v>
      </c>
      <c r="G160" s="13" t="n">
        <v>0</v>
      </c>
      <c r="H160" s="13" t="n">
        <v>0</v>
      </c>
      <c r="I160" s="13" t="n">
        <v>0</v>
      </c>
      <c r="J160" s="13" t="n">
        <v>0</v>
      </c>
    </row>
    <row r="161" customFormat="false" ht="15" hidden="false" customHeight="false" outlineLevel="0" collapsed="false">
      <c r="A161" s="4" t="s">
        <v>107</v>
      </c>
      <c r="B161" s="13" t="n">
        <v>1</v>
      </c>
      <c r="C161" s="13" t="n">
        <v>1</v>
      </c>
      <c r="D161" s="13" t="n">
        <v>0</v>
      </c>
      <c r="E161" s="13" t="n">
        <v>0</v>
      </c>
      <c r="F161" s="13" t="n">
        <v>0</v>
      </c>
      <c r="G161" s="13" t="n">
        <v>0</v>
      </c>
      <c r="H161" s="13" t="n">
        <v>0</v>
      </c>
      <c r="I161" s="13" t="n">
        <v>0</v>
      </c>
      <c r="J161" s="13" t="n">
        <v>0</v>
      </c>
    </row>
    <row r="162" customFormat="false" ht="15" hidden="false" customHeight="false" outlineLevel="0" collapsed="false">
      <c r="A162" s="4" t="s">
        <v>108</v>
      </c>
      <c r="B162" s="13" t="n">
        <v>1</v>
      </c>
      <c r="C162" s="13" t="n">
        <v>1</v>
      </c>
      <c r="D162" s="13" t="n">
        <v>0</v>
      </c>
      <c r="E162" s="13" t="n">
        <v>0</v>
      </c>
      <c r="F162" s="13" t="n">
        <v>0</v>
      </c>
      <c r="G162" s="13" t="n">
        <v>0</v>
      </c>
      <c r="H162" s="13" t="n">
        <v>0</v>
      </c>
      <c r="I162" s="13" t="n">
        <v>0</v>
      </c>
      <c r="J162" s="13" t="n">
        <v>0</v>
      </c>
    </row>
    <row r="163" customFormat="false" ht="15" hidden="false" customHeight="false" outlineLevel="0" collapsed="false">
      <c r="A163" s="4" t="s">
        <v>109</v>
      </c>
      <c r="B163" s="13" t="n">
        <v>0</v>
      </c>
      <c r="C163" s="13" t="n">
        <v>1</v>
      </c>
      <c r="D163" s="13" t="n">
        <v>0</v>
      </c>
      <c r="E163" s="13" t="n">
        <v>0</v>
      </c>
      <c r="F163" s="13" t="n">
        <v>0</v>
      </c>
      <c r="G163" s="13" t="n">
        <v>0</v>
      </c>
      <c r="H163" s="13" t="n">
        <v>0</v>
      </c>
      <c r="I163" s="13" t="n">
        <v>0</v>
      </c>
      <c r="J163" s="13" t="n">
        <v>0</v>
      </c>
    </row>
    <row r="164" customFormat="false" ht="15" hidden="false" customHeight="false" outlineLevel="0" collapsed="false">
      <c r="A164" s="4" t="s">
        <v>110</v>
      </c>
      <c r="B164" s="13" t="n">
        <v>0</v>
      </c>
      <c r="C164" s="13" t="n">
        <v>0</v>
      </c>
      <c r="D164" s="13" t="n">
        <v>0</v>
      </c>
      <c r="E164" s="13" t="n">
        <v>0</v>
      </c>
      <c r="F164" s="13" t="n">
        <v>0</v>
      </c>
      <c r="G164" s="13" t="n">
        <v>0</v>
      </c>
      <c r="H164" s="13" t="n">
        <v>0</v>
      </c>
      <c r="I164" s="13" t="n">
        <v>0</v>
      </c>
      <c r="J164" s="13" t="n">
        <v>0</v>
      </c>
    </row>
    <row r="165" customFormat="false" ht="15" hidden="false" customHeight="false" outlineLevel="0" collapsed="false">
      <c r="A165" s="4" t="s">
        <v>111</v>
      </c>
      <c r="B165" s="13" t="n">
        <v>0</v>
      </c>
      <c r="C165" s="13" t="n">
        <v>0</v>
      </c>
      <c r="D165" s="13" t="n">
        <v>0</v>
      </c>
      <c r="E165" s="13" t="n">
        <v>0</v>
      </c>
      <c r="F165" s="13" t="n">
        <v>0</v>
      </c>
      <c r="G165" s="13" t="n">
        <v>0</v>
      </c>
      <c r="H165" s="13" t="n">
        <v>0</v>
      </c>
      <c r="I165" s="13" t="n">
        <v>0</v>
      </c>
      <c r="J165" s="13" t="n">
        <v>0</v>
      </c>
    </row>
    <row r="166" customFormat="false" ht="15" hidden="false" customHeight="false" outlineLevel="0" collapsed="false">
      <c r="A166" s="4" t="s">
        <v>112</v>
      </c>
      <c r="B166" s="13" t="n">
        <v>7</v>
      </c>
      <c r="C166" s="13" t="n">
        <v>25</v>
      </c>
      <c r="D166" s="13" t="n">
        <v>3</v>
      </c>
      <c r="E166" s="13" t="n">
        <v>3</v>
      </c>
      <c r="F166" s="13" t="n">
        <v>3</v>
      </c>
      <c r="G166" s="13" t="n">
        <v>0</v>
      </c>
      <c r="H166" s="13" t="n">
        <v>0</v>
      </c>
      <c r="I166" s="13" t="n">
        <v>0</v>
      </c>
      <c r="J166" s="13" t="n">
        <v>0</v>
      </c>
    </row>
    <row r="167" customFormat="false" ht="15" hidden="false" customHeight="false" outlineLevel="0" collapsed="false">
      <c r="A167" s="4" t="s">
        <v>113</v>
      </c>
      <c r="B167" s="13" t="n">
        <v>0</v>
      </c>
      <c r="C167" s="13" t="n">
        <v>0</v>
      </c>
      <c r="D167" s="13" t="n">
        <v>0</v>
      </c>
      <c r="E167" s="13" t="n">
        <v>0</v>
      </c>
      <c r="F167" s="13" t="n">
        <v>0</v>
      </c>
      <c r="G167" s="13" t="n">
        <v>0</v>
      </c>
      <c r="H167" s="13" t="n">
        <v>0</v>
      </c>
      <c r="I167" s="13" t="n">
        <v>0</v>
      </c>
      <c r="J167" s="13" t="n">
        <v>0</v>
      </c>
    </row>
    <row r="168" customFormat="false" ht="15" hidden="false" customHeight="false" outlineLevel="0" collapsed="false">
      <c r="A168" s="4" t="s">
        <v>114</v>
      </c>
      <c r="B168" s="13" t="n">
        <v>2</v>
      </c>
      <c r="C168" s="13" t="n">
        <v>8</v>
      </c>
      <c r="D168" s="13" t="n">
        <v>0</v>
      </c>
      <c r="E168" s="13" t="n">
        <v>0</v>
      </c>
      <c r="F168" s="13" t="n">
        <v>0</v>
      </c>
      <c r="G168" s="13" t="n">
        <v>0</v>
      </c>
      <c r="H168" s="13" t="n">
        <v>0</v>
      </c>
      <c r="I168" s="13" t="n">
        <v>0</v>
      </c>
      <c r="J168" s="13" t="n">
        <v>0</v>
      </c>
    </row>
    <row r="169" customFormat="false" ht="15" hidden="false" customHeight="false" outlineLevel="0" collapsed="false">
      <c r="A169" s="4" t="s">
        <v>115</v>
      </c>
      <c r="B169" s="13" t="n">
        <v>0</v>
      </c>
      <c r="C169" s="13" t="n">
        <v>0</v>
      </c>
      <c r="D169" s="13" t="n">
        <v>0</v>
      </c>
      <c r="E169" s="13" t="n">
        <v>0</v>
      </c>
      <c r="F169" s="13" t="n">
        <v>0</v>
      </c>
      <c r="G169" s="13" t="n">
        <v>0</v>
      </c>
      <c r="H169" s="13" t="n">
        <v>0</v>
      </c>
      <c r="I169" s="13" t="n">
        <v>0</v>
      </c>
      <c r="J169" s="13" t="n">
        <v>0</v>
      </c>
    </row>
    <row r="170" customFormat="false" ht="15" hidden="false" customHeight="false" outlineLevel="0" collapsed="false">
      <c r="A170" s="4" t="s">
        <v>116</v>
      </c>
      <c r="B170" s="13" t="n">
        <v>0</v>
      </c>
      <c r="C170" s="13" t="n">
        <v>0</v>
      </c>
      <c r="D170" s="13" t="n">
        <v>0</v>
      </c>
      <c r="E170" s="13" t="n">
        <v>0</v>
      </c>
      <c r="F170" s="13" t="n">
        <v>0</v>
      </c>
      <c r="G170" s="13" t="n">
        <v>0</v>
      </c>
      <c r="H170" s="13" t="n">
        <v>0</v>
      </c>
      <c r="I170" s="13" t="n">
        <v>0</v>
      </c>
      <c r="J170" s="13" t="n">
        <v>0</v>
      </c>
    </row>
    <row r="171" customFormat="false" ht="15" hidden="false" customHeight="false" outlineLevel="0" collapsed="false">
      <c r="A171" s="4" t="s">
        <v>117</v>
      </c>
      <c r="B171" s="13" t="n">
        <v>0</v>
      </c>
      <c r="C171" s="13" t="n">
        <v>0</v>
      </c>
      <c r="D171" s="13" t="n">
        <v>0</v>
      </c>
      <c r="E171" s="13" t="n">
        <v>0</v>
      </c>
      <c r="F171" s="13" t="n">
        <v>0</v>
      </c>
      <c r="G171" s="13" t="n">
        <v>0</v>
      </c>
      <c r="H171" s="13" t="n">
        <v>0</v>
      </c>
      <c r="I171" s="13" t="n">
        <v>0</v>
      </c>
      <c r="J171" s="13" t="n">
        <v>0</v>
      </c>
    </row>
    <row r="172" customFormat="false" ht="15" hidden="false" customHeight="false" outlineLevel="0" collapsed="false">
      <c r="A172" s="4" t="s">
        <v>118</v>
      </c>
      <c r="B172" s="13" t="n">
        <v>11</v>
      </c>
      <c r="C172" s="13" t="n">
        <v>32</v>
      </c>
      <c r="D172" s="13" t="n">
        <v>4</v>
      </c>
      <c r="E172" s="13" t="n">
        <v>4</v>
      </c>
      <c r="F172" s="13" t="n">
        <v>4</v>
      </c>
      <c r="G172" s="13" t="n">
        <v>0</v>
      </c>
      <c r="H172" s="13" t="n">
        <v>0</v>
      </c>
      <c r="I172" s="13" t="n">
        <v>0</v>
      </c>
      <c r="J172" s="13" t="n">
        <v>0</v>
      </c>
    </row>
    <row r="173" customFormat="false" ht="15" hidden="false" customHeight="false" outlineLevel="0" collapsed="false">
      <c r="A173" s="4" t="s">
        <v>119</v>
      </c>
      <c r="B173" s="13" t="n">
        <v>3</v>
      </c>
      <c r="C173" s="13" t="n">
        <v>9</v>
      </c>
      <c r="D173" s="13" t="n">
        <v>0</v>
      </c>
      <c r="E173" s="13" t="n">
        <v>0</v>
      </c>
      <c r="F173" s="13" t="n">
        <v>0</v>
      </c>
      <c r="G173" s="13" t="n">
        <v>0</v>
      </c>
      <c r="H173" s="13" t="n">
        <v>0</v>
      </c>
      <c r="I173" s="13" t="n">
        <v>0</v>
      </c>
      <c r="J173" s="13" t="n">
        <v>0</v>
      </c>
    </row>
    <row r="174" customFormat="false" ht="15" hidden="false" customHeight="false" outlineLevel="0" collapsed="false">
      <c r="A174" s="4" t="s">
        <v>120</v>
      </c>
      <c r="B174" s="13" t="n">
        <v>0</v>
      </c>
      <c r="C174" s="13" t="n">
        <v>0</v>
      </c>
      <c r="D174" s="13" t="n">
        <v>0</v>
      </c>
      <c r="E174" s="13" t="n">
        <v>0</v>
      </c>
      <c r="F174" s="13" t="n">
        <v>0</v>
      </c>
      <c r="G174" s="13" t="n">
        <v>0</v>
      </c>
      <c r="H174" s="13" t="n">
        <v>0</v>
      </c>
      <c r="I174" s="13" t="n">
        <v>0</v>
      </c>
      <c r="J174" s="13" t="n">
        <v>0</v>
      </c>
    </row>
    <row r="175" customFormat="false" ht="15" hidden="false" customHeight="false" outlineLevel="0" collapsed="false">
      <c r="A175" s="4" t="s">
        <v>121</v>
      </c>
      <c r="B175" s="13" t="n">
        <v>0</v>
      </c>
      <c r="C175" s="13" t="n">
        <v>0</v>
      </c>
      <c r="D175" s="13" t="n">
        <v>0</v>
      </c>
      <c r="E175" s="13" t="n">
        <v>0</v>
      </c>
      <c r="F175" s="13" t="n">
        <v>0</v>
      </c>
      <c r="G175" s="13" t="n">
        <v>0</v>
      </c>
      <c r="H175" s="13" t="n">
        <v>0</v>
      </c>
      <c r="I175" s="13" t="n">
        <v>0</v>
      </c>
      <c r="J175" s="13" t="n">
        <v>0</v>
      </c>
    </row>
    <row r="176" customFormat="false" ht="15" hidden="false" customHeight="false" outlineLevel="0" collapsed="false">
      <c r="A176" s="4" t="s">
        <v>122</v>
      </c>
      <c r="B176" s="13" t="n">
        <v>0</v>
      </c>
      <c r="C176" s="13" t="n">
        <v>0</v>
      </c>
      <c r="D176" s="13" t="n">
        <v>0</v>
      </c>
      <c r="E176" s="13" t="n">
        <v>0</v>
      </c>
      <c r="F176" s="13" t="n">
        <v>0</v>
      </c>
      <c r="G176" s="13" t="n">
        <v>0</v>
      </c>
      <c r="H176" s="13" t="n">
        <v>0</v>
      </c>
      <c r="I176" s="13" t="n">
        <v>0</v>
      </c>
      <c r="J176" s="13" t="n">
        <v>0</v>
      </c>
    </row>
    <row r="177" customFormat="false" ht="15" hidden="false" customHeight="false" outlineLevel="0" collapsed="false">
      <c r="A177" s="4" t="s">
        <v>123</v>
      </c>
      <c r="B177" s="13" t="n">
        <v>2</v>
      </c>
      <c r="C177" s="13" t="n">
        <v>2</v>
      </c>
      <c r="D177" s="13" t="n">
        <v>0</v>
      </c>
      <c r="E177" s="13" t="n">
        <v>0</v>
      </c>
      <c r="F177" s="13" t="n">
        <v>0</v>
      </c>
      <c r="G177" s="13" t="n">
        <v>0</v>
      </c>
      <c r="H177" s="13" t="n">
        <v>0</v>
      </c>
      <c r="I177" s="13" t="n">
        <v>0</v>
      </c>
      <c r="J177" s="13" t="n">
        <v>0</v>
      </c>
    </row>
    <row r="178" customFormat="false" ht="15" hidden="false" customHeight="false" outlineLevel="0" collapsed="false">
      <c r="A178" s="4" t="s">
        <v>124</v>
      </c>
      <c r="B178" s="13" t="n">
        <v>1</v>
      </c>
      <c r="C178" s="13" t="n">
        <v>1</v>
      </c>
      <c r="D178" s="13" t="n">
        <v>0</v>
      </c>
      <c r="E178" s="13" t="n">
        <v>0</v>
      </c>
      <c r="F178" s="13" t="n">
        <v>0</v>
      </c>
      <c r="G178" s="13" t="n">
        <v>0</v>
      </c>
      <c r="H178" s="13" t="n">
        <v>0</v>
      </c>
      <c r="I178" s="13" t="n">
        <v>0</v>
      </c>
      <c r="J178" s="13" t="n">
        <v>0</v>
      </c>
    </row>
    <row r="179" customFormat="false" ht="15" hidden="false" customHeight="false" outlineLevel="0" collapsed="false">
      <c r="A179" s="4" t="s">
        <v>125</v>
      </c>
      <c r="B179" s="13" t="n">
        <v>11</v>
      </c>
      <c r="C179" s="13" t="n">
        <v>42</v>
      </c>
      <c r="D179" s="13" t="n">
        <v>0</v>
      </c>
      <c r="E179" s="13" t="n">
        <v>0</v>
      </c>
      <c r="F179" s="13" t="n">
        <v>0</v>
      </c>
      <c r="G179" s="13" t="n">
        <v>0</v>
      </c>
      <c r="H179" s="13" t="n">
        <v>0</v>
      </c>
      <c r="I179" s="13" t="n">
        <v>0</v>
      </c>
      <c r="J179" s="13" t="n">
        <v>0</v>
      </c>
    </row>
    <row r="180" customFormat="false" ht="15" hidden="false" customHeight="false" outlineLevel="0" collapsed="false">
      <c r="A180" s="4" t="s">
        <v>126</v>
      </c>
      <c r="B180" s="13" t="n">
        <v>172</v>
      </c>
      <c r="C180" s="13" t="n">
        <v>261</v>
      </c>
      <c r="D180" s="13" t="n">
        <v>11</v>
      </c>
      <c r="E180" s="13" t="n">
        <v>18</v>
      </c>
      <c r="F180" s="13" t="n">
        <v>16</v>
      </c>
      <c r="G180" s="13" t="n">
        <v>0</v>
      </c>
      <c r="H180" s="13" t="n">
        <v>0</v>
      </c>
      <c r="I180" s="13" t="n">
        <v>1</v>
      </c>
      <c r="J180" s="13" t="n">
        <v>0</v>
      </c>
    </row>
    <row r="181" customFormat="false" ht="15" hidden="false" customHeight="false" outlineLevel="0" collapsed="false">
      <c r="A181" s="4" t="s">
        <v>127</v>
      </c>
      <c r="B181" s="13" t="n">
        <v>2</v>
      </c>
      <c r="C181" s="13" t="n">
        <v>6</v>
      </c>
      <c r="D181" s="13" t="n">
        <v>0</v>
      </c>
      <c r="E181" s="13" t="n">
        <v>0</v>
      </c>
      <c r="F181" s="13" t="n">
        <v>0</v>
      </c>
      <c r="G181" s="13" t="n">
        <v>0</v>
      </c>
      <c r="H181" s="13" t="n">
        <v>0</v>
      </c>
      <c r="I181" s="13" t="n">
        <v>0</v>
      </c>
      <c r="J181" s="13" t="n">
        <v>0</v>
      </c>
    </row>
    <row r="182" customFormat="false" ht="15" hidden="false" customHeight="false" outlineLevel="0" collapsed="false">
      <c r="A182" s="4" t="s">
        <v>128</v>
      </c>
      <c r="B182" s="13" t="n">
        <v>1</v>
      </c>
      <c r="C182" s="13" t="n">
        <v>1</v>
      </c>
      <c r="D182" s="13" t="n">
        <v>0</v>
      </c>
      <c r="E182" s="13" t="n">
        <v>0</v>
      </c>
      <c r="F182" s="13" t="n">
        <v>0</v>
      </c>
      <c r="G182" s="13" t="n">
        <v>0</v>
      </c>
      <c r="H182" s="13" t="n">
        <v>0</v>
      </c>
      <c r="I182" s="13" t="n">
        <v>0</v>
      </c>
      <c r="J182" s="13" t="n">
        <v>0</v>
      </c>
    </row>
    <row r="183" customFormat="false" ht="15" hidden="false" customHeight="false" outlineLevel="0" collapsed="false">
      <c r="A183" s="4" t="s">
        <v>129</v>
      </c>
      <c r="B183" s="13" t="n">
        <v>1</v>
      </c>
      <c r="C183" s="13" t="n">
        <v>2</v>
      </c>
      <c r="D183" s="13" t="n">
        <v>1</v>
      </c>
      <c r="E183" s="13" t="n">
        <v>1</v>
      </c>
      <c r="F183" s="13" t="n">
        <v>1</v>
      </c>
      <c r="G183" s="13" t="n">
        <v>0</v>
      </c>
      <c r="H183" s="13" t="n">
        <v>0</v>
      </c>
      <c r="I183" s="13" t="n">
        <v>0</v>
      </c>
      <c r="J183" s="13" t="n">
        <v>0</v>
      </c>
    </row>
    <row r="184" customFormat="false" ht="15" hidden="false" customHeight="false" outlineLevel="0" collapsed="false">
      <c r="A184" s="4" t="s">
        <v>344</v>
      </c>
      <c r="B184" s="13" t="n">
        <v>0</v>
      </c>
      <c r="C184" s="13" t="n">
        <v>0</v>
      </c>
      <c r="D184" s="13" t="n">
        <v>0</v>
      </c>
      <c r="E184" s="13" t="n">
        <v>0</v>
      </c>
      <c r="F184" s="13" t="n">
        <v>0</v>
      </c>
      <c r="G184" s="13" t="n">
        <v>0</v>
      </c>
      <c r="H184" s="13" t="n">
        <v>0</v>
      </c>
      <c r="I184" s="13" t="n">
        <v>0</v>
      </c>
      <c r="J184" s="13" t="n">
        <v>0</v>
      </c>
    </row>
    <row r="185" customFormat="false" ht="15" hidden="false" customHeight="false" outlineLevel="0" collapsed="false">
      <c r="A185" s="4" t="s">
        <v>345</v>
      </c>
      <c r="B185" s="13" t="n">
        <v>0</v>
      </c>
      <c r="C185" s="13" t="n">
        <v>0</v>
      </c>
      <c r="D185" s="13" t="n">
        <v>0</v>
      </c>
      <c r="E185" s="13" t="n">
        <v>0</v>
      </c>
      <c r="F185" s="13" t="n">
        <v>0</v>
      </c>
      <c r="G185" s="13" t="n">
        <v>0</v>
      </c>
      <c r="H185" s="13" t="n">
        <v>0</v>
      </c>
      <c r="I185" s="13" t="n">
        <v>0</v>
      </c>
      <c r="J185" s="13" t="n">
        <v>0</v>
      </c>
    </row>
    <row r="186" customFormat="false" ht="15" hidden="false" customHeight="false" outlineLevel="0" collapsed="false">
      <c r="A186" s="4" t="s">
        <v>346</v>
      </c>
      <c r="B186" s="13" t="n">
        <v>17</v>
      </c>
      <c r="C186" s="13" t="n">
        <v>95</v>
      </c>
      <c r="D186" s="13" t="n">
        <v>6</v>
      </c>
      <c r="E186" s="13" t="n">
        <v>11</v>
      </c>
      <c r="F186" s="13" t="n">
        <v>5</v>
      </c>
      <c r="G186" s="13" t="n">
        <v>0</v>
      </c>
      <c r="H186" s="13" t="n">
        <v>0</v>
      </c>
      <c r="I186" s="13" t="n">
        <v>3</v>
      </c>
      <c r="J186" s="13" t="n">
        <v>0</v>
      </c>
    </row>
    <row r="187" customFormat="false" ht="15" hidden="false" customHeight="false" outlineLevel="0" collapsed="false">
      <c r="A187" s="4" t="s">
        <v>347</v>
      </c>
      <c r="B187" s="13" t="n">
        <v>13</v>
      </c>
      <c r="C187" s="13" t="n">
        <v>61</v>
      </c>
      <c r="D187" s="13" t="n">
        <v>0</v>
      </c>
      <c r="E187" s="13" t="n">
        <v>0</v>
      </c>
      <c r="F187" s="13" t="n">
        <v>0</v>
      </c>
      <c r="G187" s="13" t="n">
        <v>0</v>
      </c>
      <c r="H187" s="13" t="n">
        <v>0</v>
      </c>
      <c r="I187" s="13" t="n">
        <v>0</v>
      </c>
      <c r="J187" s="13" t="n">
        <v>0</v>
      </c>
    </row>
    <row r="188" customFormat="false" ht="15" hidden="false" customHeight="false" outlineLevel="0" collapsed="false">
      <c r="A188" s="4" t="s">
        <v>348</v>
      </c>
      <c r="B188" s="13" t="n">
        <v>0</v>
      </c>
      <c r="C188" s="13" t="n">
        <v>0</v>
      </c>
      <c r="D188" s="13" t="n">
        <v>0</v>
      </c>
      <c r="E188" s="13" t="n">
        <v>0</v>
      </c>
      <c r="F188" s="13" t="n">
        <v>0</v>
      </c>
      <c r="G188" s="13" t="n">
        <v>0</v>
      </c>
      <c r="H188" s="13" t="n">
        <v>0</v>
      </c>
      <c r="I188" s="13" t="n">
        <v>0</v>
      </c>
      <c r="J188" s="13" t="n">
        <v>0</v>
      </c>
    </row>
    <row r="189" customFormat="false" ht="15" hidden="false" customHeight="false" outlineLevel="0" collapsed="false">
      <c r="A189" s="4" t="s">
        <v>349</v>
      </c>
      <c r="B189" s="13" t="n">
        <v>1</v>
      </c>
      <c r="C189" s="13" t="n">
        <v>2</v>
      </c>
      <c r="D189" s="13" t="n">
        <v>0</v>
      </c>
      <c r="E189" s="13" t="n">
        <v>0</v>
      </c>
      <c r="F189" s="13" t="n">
        <v>0</v>
      </c>
      <c r="G189" s="13" t="n">
        <v>0</v>
      </c>
      <c r="H189" s="13" t="n">
        <v>0</v>
      </c>
      <c r="I189" s="13" t="n">
        <v>0</v>
      </c>
      <c r="J189" s="13" t="n">
        <v>0</v>
      </c>
    </row>
    <row r="190" customFormat="false" ht="15" hidden="false" customHeight="false" outlineLevel="0" collapsed="false">
      <c r="A190" s="4" t="s">
        <v>350</v>
      </c>
      <c r="B190" s="13" t="n">
        <v>0</v>
      </c>
      <c r="C190" s="13" t="n">
        <v>0</v>
      </c>
      <c r="D190" s="13" t="n">
        <v>0</v>
      </c>
      <c r="E190" s="13" t="n">
        <v>0</v>
      </c>
      <c r="F190" s="13" t="n">
        <v>0</v>
      </c>
      <c r="G190" s="13" t="n">
        <v>0</v>
      </c>
      <c r="H190" s="13" t="n">
        <v>0</v>
      </c>
      <c r="I190" s="13" t="n">
        <v>0</v>
      </c>
      <c r="J190" s="13" t="n">
        <v>0</v>
      </c>
    </row>
    <row r="191" customFormat="false" ht="15" hidden="false" customHeight="false" outlineLevel="0" collapsed="false">
      <c r="A191" s="4" t="s">
        <v>130</v>
      </c>
      <c r="B191" s="13" t="n">
        <v>6</v>
      </c>
      <c r="C191" s="13" t="n">
        <v>10</v>
      </c>
      <c r="D191" s="13" t="n">
        <v>0</v>
      </c>
      <c r="E191" s="13" t="n">
        <v>0</v>
      </c>
      <c r="F191" s="13" t="n">
        <v>0</v>
      </c>
      <c r="G191" s="13" t="n">
        <v>0</v>
      </c>
      <c r="H191" s="13" t="n">
        <v>0</v>
      </c>
      <c r="I191" s="13" t="n">
        <v>0</v>
      </c>
      <c r="J191" s="13" t="n">
        <v>0</v>
      </c>
    </row>
    <row r="192" customFormat="false" ht="15" hidden="false" customHeight="false" outlineLevel="0" collapsed="false">
      <c r="A192" s="4" t="s">
        <v>131</v>
      </c>
      <c r="B192" s="13" t="n">
        <v>2</v>
      </c>
      <c r="C192" s="13" t="n">
        <v>2</v>
      </c>
      <c r="D192" s="13" t="n">
        <v>0</v>
      </c>
      <c r="E192" s="13" t="n">
        <v>0</v>
      </c>
      <c r="F192" s="13" t="n">
        <v>0</v>
      </c>
      <c r="G192" s="13" t="n">
        <v>0</v>
      </c>
      <c r="H192" s="13" t="n">
        <v>0</v>
      </c>
      <c r="I192" s="13" t="n">
        <v>0</v>
      </c>
      <c r="J192" s="13" t="n">
        <v>0</v>
      </c>
    </row>
    <row r="193" customFormat="false" ht="15" hidden="false" customHeight="false" outlineLevel="0" collapsed="false">
      <c r="A193" s="4" t="s">
        <v>132</v>
      </c>
      <c r="B193" s="13" t="n">
        <v>1</v>
      </c>
      <c r="C193" s="13" t="n">
        <v>2</v>
      </c>
      <c r="D193" s="13" t="n">
        <v>0</v>
      </c>
      <c r="E193" s="13" t="n">
        <v>0</v>
      </c>
      <c r="F193" s="13" t="n">
        <v>0</v>
      </c>
      <c r="G193" s="13" t="n">
        <v>0</v>
      </c>
      <c r="H193" s="13" t="n">
        <v>0</v>
      </c>
      <c r="I193" s="13" t="n">
        <v>0</v>
      </c>
      <c r="J193" s="13" t="n">
        <v>0</v>
      </c>
    </row>
    <row r="194" customFormat="false" ht="15" hidden="false" customHeight="false" outlineLevel="0" collapsed="false">
      <c r="A194" s="4" t="s">
        <v>133</v>
      </c>
      <c r="B194" s="13" t="n">
        <v>1</v>
      </c>
      <c r="C194" s="13" t="n">
        <v>1</v>
      </c>
      <c r="D194" s="13" t="n">
        <v>0</v>
      </c>
      <c r="E194" s="13" t="n">
        <v>0</v>
      </c>
      <c r="F194" s="13" t="n">
        <v>0</v>
      </c>
      <c r="G194" s="13" t="n">
        <v>0</v>
      </c>
      <c r="H194" s="13" t="n">
        <v>0</v>
      </c>
      <c r="I194" s="13" t="n">
        <v>0</v>
      </c>
      <c r="J194" s="13" t="n">
        <v>0</v>
      </c>
    </row>
    <row r="195" customFormat="false" ht="15" hidden="false" customHeight="false" outlineLevel="0" collapsed="false">
      <c r="A195" s="4" t="s">
        <v>134</v>
      </c>
      <c r="B195" s="13" t="n">
        <v>10</v>
      </c>
      <c r="C195" s="13" t="n">
        <v>35</v>
      </c>
      <c r="D195" s="13" t="n">
        <v>2</v>
      </c>
      <c r="E195" s="13" t="n">
        <v>2</v>
      </c>
      <c r="F195" s="13" t="n">
        <v>2</v>
      </c>
      <c r="G195" s="13" t="n">
        <v>0</v>
      </c>
      <c r="H195" s="13" t="n">
        <v>0</v>
      </c>
      <c r="I195" s="13" t="n">
        <v>0</v>
      </c>
      <c r="J195" s="13" t="n">
        <v>0</v>
      </c>
    </row>
    <row r="196" customFormat="false" ht="15" hidden="false" customHeight="false" outlineLevel="0" collapsed="false">
      <c r="A196" s="4" t="s">
        <v>135</v>
      </c>
      <c r="B196" s="13" t="n">
        <v>1</v>
      </c>
      <c r="C196" s="13" t="n">
        <v>2</v>
      </c>
      <c r="D196" s="13" t="n">
        <v>1</v>
      </c>
      <c r="E196" s="13" t="n">
        <v>1</v>
      </c>
      <c r="F196" s="13" t="n">
        <v>1</v>
      </c>
      <c r="G196" s="13" t="n">
        <v>0</v>
      </c>
      <c r="H196" s="13" t="n">
        <v>0</v>
      </c>
      <c r="I196" s="13" t="n">
        <v>0</v>
      </c>
      <c r="J196" s="13" t="n">
        <v>0</v>
      </c>
    </row>
    <row r="197" customFormat="false" ht="15" hidden="false" customHeight="false" outlineLevel="0" collapsed="false">
      <c r="A197" s="4" t="s">
        <v>136</v>
      </c>
      <c r="B197" s="13" t="n">
        <v>1</v>
      </c>
      <c r="C197" s="13" t="n">
        <v>1</v>
      </c>
      <c r="D197" s="13" t="n">
        <v>0</v>
      </c>
      <c r="E197" s="13" t="n">
        <v>0</v>
      </c>
      <c r="F197" s="13" t="n">
        <v>0</v>
      </c>
      <c r="G197" s="13" t="n">
        <v>0</v>
      </c>
      <c r="H197" s="13" t="n">
        <v>0</v>
      </c>
      <c r="I197" s="13" t="n">
        <v>0</v>
      </c>
      <c r="J197" s="13" t="n">
        <v>0</v>
      </c>
    </row>
    <row r="198" customFormat="false" ht="15" hidden="false" customHeight="false" outlineLevel="0" collapsed="false">
      <c r="A198" s="4" t="s">
        <v>137</v>
      </c>
      <c r="B198" s="13" t="n">
        <v>0</v>
      </c>
      <c r="C198" s="13" t="n">
        <v>0</v>
      </c>
      <c r="D198" s="13" t="n">
        <v>0</v>
      </c>
      <c r="E198" s="13" t="n">
        <v>0</v>
      </c>
      <c r="F198" s="13" t="n">
        <v>0</v>
      </c>
      <c r="G198" s="13" t="n">
        <v>0</v>
      </c>
      <c r="H198" s="13" t="n">
        <v>0</v>
      </c>
      <c r="I198" s="13" t="n">
        <v>0</v>
      </c>
      <c r="J198" s="13" t="n">
        <v>0</v>
      </c>
    </row>
    <row r="199" customFormat="false" ht="15" hidden="false" customHeight="false" outlineLevel="0" collapsed="false">
      <c r="A199" s="4" t="s">
        <v>138</v>
      </c>
      <c r="B199" s="13" t="n">
        <v>0</v>
      </c>
      <c r="C199" s="13" t="n">
        <v>0</v>
      </c>
      <c r="D199" s="13" t="n">
        <v>0</v>
      </c>
      <c r="E199" s="13" t="n">
        <v>0</v>
      </c>
      <c r="F199" s="13" t="n">
        <v>0</v>
      </c>
      <c r="G199" s="13" t="n">
        <v>0</v>
      </c>
      <c r="H199" s="13" t="n">
        <v>0</v>
      </c>
      <c r="I199" s="13" t="n">
        <v>0</v>
      </c>
      <c r="J199" s="13" t="n">
        <v>0</v>
      </c>
    </row>
    <row r="200" customFormat="false" ht="15" hidden="false" customHeight="false" outlineLevel="0" collapsed="false">
      <c r="A200" s="4" t="s">
        <v>139</v>
      </c>
      <c r="B200" s="13" t="n">
        <v>12</v>
      </c>
      <c r="C200" s="13" t="n">
        <v>29</v>
      </c>
      <c r="D200" s="13" t="n">
        <v>3</v>
      </c>
      <c r="E200" s="13" t="n">
        <v>4</v>
      </c>
      <c r="F200" s="13" t="n">
        <v>4</v>
      </c>
      <c r="G200" s="13" t="n">
        <v>0</v>
      </c>
      <c r="H200" s="13" t="n">
        <v>0</v>
      </c>
      <c r="I200" s="13" t="n">
        <v>0</v>
      </c>
      <c r="J200" s="13" t="n">
        <v>0</v>
      </c>
    </row>
    <row r="201" customFormat="false" ht="15" hidden="false" customHeight="false" outlineLevel="0" collapsed="false">
      <c r="A201" s="4" t="s">
        <v>140</v>
      </c>
      <c r="B201" s="13" t="n">
        <v>0</v>
      </c>
      <c r="C201" s="13" t="n">
        <v>0</v>
      </c>
      <c r="D201" s="13" t="n">
        <v>0</v>
      </c>
      <c r="E201" s="13" t="n">
        <v>0</v>
      </c>
      <c r="F201" s="13" t="n">
        <v>0</v>
      </c>
      <c r="G201" s="13" t="n">
        <v>0</v>
      </c>
      <c r="H201" s="13" t="n">
        <v>0</v>
      </c>
      <c r="I201" s="13" t="n">
        <v>0</v>
      </c>
      <c r="J201" s="13" t="n">
        <v>0</v>
      </c>
    </row>
    <row r="202" customFormat="false" ht="15" hidden="false" customHeight="false" outlineLevel="0" collapsed="false">
      <c r="A202" s="4" t="s">
        <v>141</v>
      </c>
      <c r="B202" s="13" t="n">
        <v>0</v>
      </c>
      <c r="C202" s="13" t="n">
        <v>0</v>
      </c>
      <c r="D202" s="13" t="n">
        <v>0</v>
      </c>
      <c r="E202" s="13" t="n">
        <v>0</v>
      </c>
      <c r="F202" s="13" t="n">
        <v>0</v>
      </c>
      <c r="G202" s="13" t="n">
        <v>0</v>
      </c>
      <c r="H202" s="13" t="n">
        <v>0</v>
      </c>
      <c r="I202" s="13" t="n">
        <v>0</v>
      </c>
      <c r="J202" s="13" t="n">
        <v>0</v>
      </c>
    </row>
    <row r="203" customFormat="false" ht="15" hidden="false" customHeight="false" outlineLevel="0" collapsed="false">
      <c r="A203" s="4" t="s">
        <v>142</v>
      </c>
      <c r="B203" s="13" t="n">
        <v>0</v>
      </c>
      <c r="C203" s="13" t="n">
        <v>0</v>
      </c>
      <c r="D203" s="13" t="n">
        <v>0</v>
      </c>
      <c r="E203" s="13" t="n">
        <v>0</v>
      </c>
      <c r="F203" s="13" t="n">
        <v>0</v>
      </c>
      <c r="G203" s="13" t="n">
        <v>0</v>
      </c>
      <c r="H203" s="13" t="n">
        <v>0</v>
      </c>
      <c r="I203" s="13" t="n">
        <v>0</v>
      </c>
      <c r="J203" s="13" t="n">
        <v>0</v>
      </c>
    </row>
    <row r="204" customFormat="false" ht="15" hidden="false" customHeight="false" outlineLevel="0" collapsed="false">
      <c r="A204" s="4" t="s">
        <v>143</v>
      </c>
      <c r="B204" s="13" t="n">
        <v>0</v>
      </c>
      <c r="C204" s="13" t="n">
        <v>0</v>
      </c>
      <c r="D204" s="13" t="n">
        <v>0</v>
      </c>
      <c r="E204" s="13" t="n">
        <v>0</v>
      </c>
      <c r="F204" s="13" t="n">
        <v>0</v>
      </c>
      <c r="G204" s="13" t="n">
        <v>0</v>
      </c>
      <c r="H204" s="13" t="n">
        <v>0</v>
      </c>
      <c r="I204" s="13" t="n">
        <v>0</v>
      </c>
      <c r="J204" s="13" t="n">
        <v>0</v>
      </c>
    </row>
    <row r="205" customFormat="false" ht="15" hidden="false" customHeight="false" outlineLevel="0" collapsed="false">
      <c r="A205" s="4" t="s">
        <v>144</v>
      </c>
      <c r="B205" s="13" t="n">
        <v>1</v>
      </c>
      <c r="C205" s="13" t="n">
        <v>1</v>
      </c>
      <c r="D205" s="13" t="n">
        <v>0</v>
      </c>
      <c r="E205" s="13" t="n">
        <v>0</v>
      </c>
      <c r="F205" s="13" t="n">
        <v>0</v>
      </c>
      <c r="G205" s="13" t="n">
        <v>0</v>
      </c>
      <c r="H205" s="13" t="n">
        <v>0</v>
      </c>
      <c r="I205" s="13" t="n">
        <v>0</v>
      </c>
      <c r="J205" s="13" t="n">
        <v>0</v>
      </c>
    </row>
    <row r="206" customFormat="false" ht="15" hidden="false" customHeight="false" outlineLevel="0" collapsed="false">
      <c r="A206" s="4" t="s">
        <v>145</v>
      </c>
      <c r="B206" s="13" t="n">
        <v>12</v>
      </c>
      <c r="C206" s="13" t="n">
        <v>31</v>
      </c>
      <c r="D206" s="13" t="n">
        <v>2</v>
      </c>
      <c r="E206" s="13" t="n">
        <v>2</v>
      </c>
      <c r="F206" s="13" t="n">
        <v>2</v>
      </c>
      <c r="G206" s="13" t="n">
        <v>0</v>
      </c>
      <c r="H206" s="13" t="n">
        <v>0</v>
      </c>
      <c r="I206" s="13" t="n">
        <v>0</v>
      </c>
      <c r="J206" s="13" t="n">
        <v>0</v>
      </c>
    </row>
    <row r="207" customFormat="false" ht="15" hidden="false" customHeight="false" outlineLevel="0" collapsed="false">
      <c r="A207" s="4" t="s">
        <v>146</v>
      </c>
      <c r="B207" s="13" t="n">
        <v>171</v>
      </c>
      <c r="C207" s="13" t="n">
        <v>254</v>
      </c>
      <c r="D207" s="13" t="n">
        <v>9</v>
      </c>
      <c r="E207" s="13" t="n">
        <v>16</v>
      </c>
      <c r="F207" s="13" t="n">
        <v>10</v>
      </c>
      <c r="G207" s="13" t="n">
        <v>0</v>
      </c>
      <c r="H207" s="13" t="n">
        <v>0</v>
      </c>
      <c r="I207" s="13" t="n">
        <v>3</v>
      </c>
      <c r="J207" s="13" t="n">
        <v>0</v>
      </c>
    </row>
    <row r="208" customFormat="false" ht="15" hidden="false" customHeight="false" outlineLevel="0" collapsed="false">
      <c r="A208" s="4" t="s">
        <v>147</v>
      </c>
      <c r="B208" s="13" t="n">
        <v>21</v>
      </c>
      <c r="C208" s="13" t="n">
        <v>51</v>
      </c>
      <c r="D208" s="13" t="n">
        <v>2</v>
      </c>
      <c r="E208" s="13" t="n">
        <v>2</v>
      </c>
      <c r="F208" s="13" t="n">
        <v>2</v>
      </c>
      <c r="G208" s="13" t="n">
        <v>0</v>
      </c>
      <c r="H208" s="13" t="n">
        <v>0</v>
      </c>
      <c r="I208" s="13" t="n">
        <v>0</v>
      </c>
      <c r="J208" s="13" t="n">
        <v>0</v>
      </c>
    </row>
    <row r="209" customFormat="false" ht="15" hidden="false" customHeight="false" outlineLevel="0" collapsed="false">
      <c r="A209" s="4" t="s">
        <v>148</v>
      </c>
      <c r="B209" s="13" t="n">
        <v>4</v>
      </c>
      <c r="C209" s="13" t="n">
        <v>4</v>
      </c>
      <c r="D209" s="13" t="n">
        <v>0</v>
      </c>
      <c r="E209" s="13" t="n">
        <v>0</v>
      </c>
      <c r="F209" s="13" t="n">
        <v>0</v>
      </c>
      <c r="G209" s="13" t="n">
        <v>0</v>
      </c>
      <c r="H209" s="13" t="n">
        <v>0</v>
      </c>
      <c r="I209" s="13" t="n">
        <v>0</v>
      </c>
      <c r="J209" s="13" t="n">
        <v>0</v>
      </c>
    </row>
    <row r="210" customFormat="false" ht="15" hidden="false" customHeight="false" outlineLevel="0" collapsed="false">
      <c r="A210" s="4" t="s">
        <v>149</v>
      </c>
      <c r="B210" s="13" t="n">
        <v>0</v>
      </c>
      <c r="C210" s="13" t="n">
        <v>0</v>
      </c>
      <c r="D210" s="13" t="n">
        <v>0</v>
      </c>
      <c r="E210" s="13" t="n">
        <v>0</v>
      </c>
      <c r="F210" s="13" t="n">
        <v>0</v>
      </c>
      <c r="G210" s="13" t="n">
        <v>0</v>
      </c>
      <c r="H210" s="13" t="n">
        <v>0</v>
      </c>
      <c r="I210" s="13" t="n">
        <v>0</v>
      </c>
      <c r="J210" s="13" t="n">
        <v>0</v>
      </c>
    </row>
    <row r="211" customFormat="false" ht="15" hidden="false" customHeight="false" outlineLevel="0" collapsed="false">
      <c r="A211" s="4" t="s">
        <v>150</v>
      </c>
      <c r="B211" s="13" t="n">
        <v>1</v>
      </c>
      <c r="C211" s="13" t="n">
        <v>4</v>
      </c>
      <c r="D211" s="13" t="n">
        <v>0</v>
      </c>
      <c r="E211" s="13" t="n">
        <v>0</v>
      </c>
      <c r="F211" s="13" t="n">
        <v>0</v>
      </c>
      <c r="G211" s="13" t="n">
        <v>0</v>
      </c>
      <c r="H211" s="13" t="n">
        <v>0</v>
      </c>
      <c r="I211" s="13" t="n">
        <v>0</v>
      </c>
      <c r="J211" s="13" t="n">
        <v>0</v>
      </c>
    </row>
    <row r="212" customFormat="false" ht="15" hidden="false" customHeight="false" outlineLevel="0" collapsed="false">
      <c r="A212" s="4" t="s">
        <v>151</v>
      </c>
      <c r="B212" s="13" t="n">
        <v>13</v>
      </c>
      <c r="C212" s="13" t="n">
        <v>44</v>
      </c>
      <c r="D212" s="13" t="n">
        <v>0</v>
      </c>
      <c r="E212" s="13" t="n">
        <v>0</v>
      </c>
      <c r="F212" s="13" t="n">
        <v>0</v>
      </c>
      <c r="G212" s="13" t="n">
        <v>0</v>
      </c>
      <c r="H212" s="13" t="n">
        <v>0</v>
      </c>
      <c r="I212" s="13" t="n">
        <v>0</v>
      </c>
      <c r="J212" s="13" t="n">
        <v>0</v>
      </c>
    </row>
    <row r="213" customFormat="false" ht="15" hidden="false" customHeight="false" outlineLevel="0" collapsed="false">
      <c r="A213" s="4" t="s">
        <v>152</v>
      </c>
      <c r="B213" s="13" t="n">
        <v>0</v>
      </c>
      <c r="C213" s="13" t="n">
        <v>0</v>
      </c>
      <c r="D213" s="13" t="n">
        <v>0</v>
      </c>
      <c r="E213" s="13" t="n">
        <v>0</v>
      </c>
      <c r="F213" s="13" t="n">
        <v>0</v>
      </c>
      <c r="G213" s="13" t="n">
        <v>0</v>
      </c>
      <c r="H213" s="13" t="n">
        <v>0</v>
      </c>
      <c r="I213" s="13" t="n">
        <v>0</v>
      </c>
      <c r="J213" s="13" t="n">
        <v>0</v>
      </c>
    </row>
    <row r="214" customFormat="false" ht="15" hidden="false" customHeight="false" outlineLevel="0" collapsed="false">
      <c r="A214" s="4" t="s">
        <v>153</v>
      </c>
      <c r="B214" s="13" t="n">
        <v>10</v>
      </c>
      <c r="C214" s="13" t="n">
        <v>27</v>
      </c>
      <c r="D214" s="13" t="n">
        <v>2</v>
      </c>
      <c r="E214" s="13" t="n">
        <v>2</v>
      </c>
      <c r="F214" s="13" t="n">
        <v>2</v>
      </c>
      <c r="G214" s="13" t="n">
        <v>0</v>
      </c>
      <c r="H214" s="13" t="n">
        <v>0</v>
      </c>
      <c r="I214" s="13" t="n">
        <v>0</v>
      </c>
      <c r="J214" s="13" t="n">
        <v>0</v>
      </c>
    </row>
    <row r="215" customFormat="false" ht="15" hidden="false" customHeight="false" outlineLevel="0" collapsed="false">
      <c r="A215" s="4" t="s">
        <v>154</v>
      </c>
      <c r="B215" s="13" t="n">
        <v>6</v>
      </c>
      <c r="C215" s="13" t="n">
        <v>8</v>
      </c>
      <c r="D215" s="13" t="n">
        <v>2</v>
      </c>
      <c r="E215" s="13" t="n">
        <v>2</v>
      </c>
      <c r="F215" s="13" t="n">
        <v>2</v>
      </c>
      <c r="G215" s="13" t="n">
        <v>0</v>
      </c>
      <c r="H215" s="13" t="n">
        <v>0</v>
      </c>
      <c r="I215" s="13" t="n">
        <v>0</v>
      </c>
      <c r="J215" s="13" t="n">
        <v>0</v>
      </c>
    </row>
    <row r="216" customFormat="false" ht="15" hidden="false" customHeight="false" outlineLevel="0" collapsed="false">
      <c r="A216" s="4" t="s">
        <v>155</v>
      </c>
      <c r="B216" s="13" t="n">
        <v>12</v>
      </c>
      <c r="C216" s="13" t="n">
        <v>73</v>
      </c>
      <c r="D216" s="13" t="n">
        <v>0</v>
      </c>
      <c r="E216" s="13" t="n">
        <v>0</v>
      </c>
      <c r="F216" s="13" t="n">
        <v>0</v>
      </c>
      <c r="G216" s="13" t="n">
        <v>0</v>
      </c>
      <c r="H216" s="13" t="n">
        <v>0</v>
      </c>
      <c r="I216" s="13" t="n">
        <v>0</v>
      </c>
      <c r="J216" s="13" t="n">
        <v>0</v>
      </c>
    </row>
    <row r="217" customFormat="false" ht="15" hidden="false" customHeight="false" outlineLevel="0" collapsed="false">
      <c r="A217" s="4" t="s">
        <v>351</v>
      </c>
      <c r="B217" s="13" t="n">
        <v>1</v>
      </c>
      <c r="C217" s="13" t="n">
        <v>18</v>
      </c>
      <c r="D217" s="13" t="n">
        <v>0</v>
      </c>
      <c r="E217" s="13" t="n">
        <v>0</v>
      </c>
      <c r="F217" s="13" t="n">
        <v>0</v>
      </c>
      <c r="G217" s="13" t="n">
        <v>0</v>
      </c>
      <c r="H217" s="13" t="n">
        <v>0</v>
      </c>
      <c r="I217" s="13" t="n">
        <v>0</v>
      </c>
      <c r="J217" s="13" t="n">
        <v>0</v>
      </c>
    </row>
    <row r="218" customFormat="false" ht="15" hidden="false" customHeight="false" outlineLevel="0" collapsed="false">
      <c r="A218" s="4" t="s">
        <v>352</v>
      </c>
      <c r="B218" s="13" t="n">
        <v>0</v>
      </c>
      <c r="C218" s="13" t="n">
        <v>0</v>
      </c>
      <c r="D218" s="13" t="n">
        <v>0</v>
      </c>
      <c r="E218" s="13" t="n">
        <v>0</v>
      </c>
      <c r="F218" s="13" t="n">
        <v>0</v>
      </c>
      <c r="G218" s="13" t="n">
        <v>0</v>
      </c>
      <c r="H218" s="13" t="n">
        <v>0</v>
      </c>
      <c r="I218" s="13" t="n">
        <v>0</v>
      </c>
      <c r="J218" s="13" t="n">
        <v>0</v>
      </c>
    </row>
    <row r="219" customFormat="false" ht="15" hidden="false" customHeight="false" outlineLevel="0" collapsed="false">
      <c r="A219" s="4" t="s">
        <v>353</v>
      </c>
      <c r="B219" s="13" t="n">
        <v>2</v>
      </c>
      <c r="C219" s="13" t="n">
        <v>4</v>
      </c>
      <c r="D219" s="13" t="n">
        <v>0</v>
      </c>
      <c r="E219" s="13" t="n">
        <v>0</v>
      </c>
      <c r="F219" s="13" t="n">
        <v>0</v>
      </c>
      <c r="G219" s="13" t="n">
        <v>0</v>
      </c>
      <c r="H219" s="13" t="n">
        <v>0</v>
      </c>
      <c r="I219" s="13" t="n">
        <v>0</v>
      </c>
      <c r="J219" s="13" t="n">
        <v>0</v>
      </c>
    </row>
    <row r="220" customFormat="false" ht="15" hidden="false" customHeight="false" outlineLevel="0" collapsed="false">
      <c r="A220" s="4" t="s">
        <v>354</v>
      </c>
      <c r="B220" s="13" t="n">
        <v>1</v>
      </c>
      <c r="C220" s="13" t="n">
        <v>3</v>
      </c>
      <c r="D220" s="13" t="n">
        <v>0</v>
      </c>
      <c r="E220" s="13" t="n">
        <v>0</v>
      </c>
      <c r="F220" s="13" t="n">
        <v>0</v>
      </c>
      <c r="G220" s="13" t="n">
        <v>0</v>
      </c>
      <c r="H220" s="13" t="n">
        <v>0</v>
      </c>
      <c r="I220" s="13" t="n">
        <v>0</v>
      </c>
      <c r="J220" s="13" t="n">
        <v>0</v>
      </c>
    </row>
    <row r="221" customFormat="false" ht="15" hidden="false" customHeight="false" outlineLevel="0" collapsed="false">
      <c r="A221" s="4" t="s">
        <v>355</v>
      </c>
      <c r="B221" s="13" t="n">
        <v>12</v>
      </c>
      <c r="C221" s="13" t="n">
        <v>31</v>
      </c>
      <c r="D221" s="13" t="n">
        <v>4</v>
      </c>
      <c r="E221" s="13" t="n">
        <v>4</v>
      </c>
      <c r="F221" s="13" t="n">
        <v>4</v>
      </c>
      <c r="G221" s="13" t="n">
        <v>0</v>
      </c>
      <c r="H221" s="13" t="n">
        <v>0</v>
      </c>
      <c r="I221" s="13" t="n">
        <v>0</v>
      </c>
      <c r="J221" s="13" t="n">
        <v>0</v>
      </c>
    </row>
    <row r="222" customFormat="false" ht="15" hidden="false" customHeight="false" outlineLevel="0" collapsed="false">
      <c r="A222" s="4" t="s">
        <v>356</v>
      </c>
      <c r="B222" s="13" t="n">
        <v>3</v>
      </c>
      <c r="C222" s="13" t="n">
        <v>8</v>
      </c>
      <c r="D222" s="13" t="n">
        <v>0</v>
      </c>
      <c r="E222" s="13" t="n">
        <v>0</v>
      </c>
      <c r="F222" s="13" t="n">
        <v>0</v>
      </c>
      <c r="G222" s="13" t="n">
        <v>0</v>
      </c>
      <c r="H222" s="13" t="n">
        <v>0</v>
      </c>
      <c r="I222" s="13" t="n">
        <v>0</v>
      </c>
      <c r="J222" s="13" t="n">
        <v>0</v>
      </c>
    </row>
    <row r="223" customFormat="false" ht="15" hidden="false" customHeight="false" outlineLevel="0" collapsed="false">
      <c r="A223" s="4" t="s">
        <v>357</v>
      </c>
      <c r="B223" s="13" t="n">
        <v>1</v>
      </c>
      <c r="C223" s="13" t="n">
        <v>1</v>
      </c>
      <c r="D223" s="13" t="n">
        <v>0</v>
      </c>
      <c r="E223" s="13" t="n">
        <v>0</v>
      </c>
      <c r="F223" s="13" t="n">
        <v>0</v>
      </c>
      <c r="G223" s="13" t="n">
        <v>0</v>
      </c>
      <c r="H223" s="13" t="n">
        <v>0</v>
      </c>
      <c r="I223" s="13" t="n">
        <v>0</v>
      </c>
      <c r="J223" s="13" t="n">
        <v>0</v>
      </c>
    </row>
    <row r="224" customFormat="false" ht="15" hidden="false" customHeight="false" outlineLevel="0" collapsed="false">
      <c r="A224" s="4" t="s">
        <v>358</v>
      </c>
      <c r="B224" s="13" t="n">
        <v>1</v>
      </c>
      <c r="C224" s="13" t="n">
        <v>1</v>
      </c>
      <c r="D224" s="13" t="n">
        <v>0</v>
      </c>
      <c r="E224" s="13" t="n">
        <v>0</v>
      </c>
      <c r="F224" s="13" t="n">
        <v>0</v>
      </c>
      <c r="G224" s="13" t="n">
        <v>0</v>
      </c>
      <c r="H224" s="13" t="n">
        <v>0</v>
      </c>
      <c r="I224" s="13" t="n">
        <v>0</v>
      </c>
      <c r="J224" s="13" t="n">
        <v>0</v>
      </c>
    </row>
    <row r="225" customFormat="false" ht="15" hidden="false" customHeight="false" outlineLevel="0" collapsed="false">
      <c r="A225" s="4" t="s">
        <v>359</v>
      </c>
      <c r="B225" s="13" t="n">
        <v>1</v>
      </c>
      <c r="C225" s="13" t="n">
        <v>3</v>
      </c>
      <c r="D225" s="13" t="n">
        <v>0</v>
      </c>
      <c r="E225" s="13" t="n">
        <v>0</v>
      </c>
      <c r="F225" s="13" t="n">
        <v>0</v>
      </c>
      <c r="G225" s="13" t="n">
        <v>0</v>
      </c>
      <c r="H225" s="13" t="n">
        <v>0</v>
      </c>
      <c r="I225" s="13" t="n">
        <v>0</v>
      </c>
      <c r="J225" s="13" t="n">
        <v>0</v>
      </c>
    </row>
    <row r="226" customFormat="false" ht="15" hidden="false" customHeight="false" outlineLevel="0" collapsed="false">
      <c r="A226" s="4" t="s">
        <v>360</v>
      </c>
      <c r="B226" s="13" t="n">
        <v>1</v>
      </c>
      <c r="C226" s="13" t="n">
        <v>5</v>
      </c>
      <c r="D226" s="13" t="n">
        <v>0</v>
      </c>
      <c r="E226" s="13" t="n">
        <v>0</v>
      </c>
      <c r="F226" s="13" t="n">
        <v>0</v>
      </c>
      <c r="G226" s="13" t="n">
        <v>0</v>
      </c>
      <c r="H226" s="13" t="n">
        <v>0</v>
      </c>
      <c r="I226" s="13" t="n">
        <v>0</v>
      </c>
      <c r="J226" s="13" t="n">
        <v>0</v>
      </c>
    </row>
    <row r="227" customFormat="false" ht="15" hidden="false" customHeight="false" outlineLevel="0" collapsed="false">
      <c r="A227" s="4" t="s">
        <v>361</v>
      </c>
      <c r="B227" s="13" t="n">
        <v>0</v>
      </c>
      <c r="C227" s="13" t="n">
        <v>0</v>
      </c>
      <c r="D227" s="13" t="n">
        <v>0</v>
      </c>
      <c r="E227" s="13" t="n">
        <v>0</v>
      </c>
      <c r="F227" s="13" t="n">
        <v>0</v>
      </c>
      <c r="G227" s="13" t="n">
        <v>0</v>
      </c>
      <c r="H227" s="13" t="n">
        <v>0</v>
      </c>
      <c r="I227" s="13" t="n">
        <v>0</v>
      </c>
      <c r="J227" s="13" t="n">
        <v>0</v>
      </c>
    </row>
    <row r="228" customFormat="false" ht="15" hidden="false" customHeight="false" outlineLevel="0" collapsed="false">
      <c r="A228" s="4" t="s">
        <v>362</v>
      </c>
      <c r="B228" s="13" t="n">
        <v>9</v>
      </c>
      <c r="C228" s="13" t="n">
        <v>21</v>
      </c>
      <c r="D228" s="13" t="n">
        <v>0</v>
      </c>
      <c r="E228" s="13" t="n">
        <v>0</v>
      </c>
      <c r="F228" s="13" t="n">
        <v>0</v>
      </c>
      <c r="G228" s="13" t="n">
        <v>0</v>
      </c>
      <c r="H228" s="13" t="n">
        <v>0</v>
      </c>
      <c r="I228" s="13" t="n">
        <v>0</v>
      </c>
      <c r="J228" s="13" t="n">
        <v>0</v>
      </c>
    </row>
    <row r="229" customFormat="false" ht="15" hidden="false" customHeight="false" outlineLevel="0" collapsed="false">
      <c r="A229" s="4" t="s">
        <v>363</v>
      </c>
      <c r="B229" s="13" t="n">
        <v>2</v>
      </c>
      <c r="C229" s="13" t="n">
        <v>3</v>
      </c>
      <c r="D229" s="13" t="n">
        <v>0</v>
      </c>
      <c r="E229" s="13" t="n">
        <v>0</v>
      </c>
      <c r="F229" s="13" t="n">
        <v>0</v>
      </c>
      <c r="G229" s="13" t="n">
        <v>0</v>
      </c>
      <c r="H229" s="13" t="n">
        <v>0</v>
      </c>
      <c r="I229" s="13" t="n">
        <v>0</v>
      </c>
      <c r="J229" s="13" t="n">
        <v>0</v>
      </c>
    </row>
    <row r="230" customFormat="false" ht="15" hidden="false" customHeight="false" outlineLevel="0" collapsed="false">
      <c r="A230" s="4" t="s">
        <v>364</v>
      </c>
      <c r="B230" s="13" t="n">
        <v>4</v>
      </c>
      <c r="C230" s="13" t="n">
        <v>5</v>
      </c>
      <c r="D230" s="13" t="n">
        <v>0</v>
      </c>
      <c r="E230" s="13" t="n">
        <v>0</v>
      </c>
      <c r="F230" s="13" t="n">
        <v>0</v>
      </c>
      <c r="G230" s="13" t="n">
        <v>0</v>
      </c>
      <c r="H230" s="13" t="n">
        <v>0</v>
      </c>
      <c r="I230" s="13" t="n">
        <v>0</v>
      </c>
      <c r="J230" s="13" t="n">
        <v>0</v>
      </c>
    </row>
    <row r="231" customFormat="false" ht="15" hidden="false" customHeight="false" outlineLevel="0" collapsed="false">
      <c r="A231" s="4" t="s">
        <v>365</v>
      </c>
      <c r="B231" s="13" t="n">
        <v>3</v>
      </c>
      <c r="C231" s="13" t="n">
        <v>5</v>
      </c>
      <c r="D231" s="13" t="n">
        <v>0</v>
      </c>
      <c r="E231" s="13" t="n">
        <v>0</v>
      </c>
      <c r="F231" s="13" t="n">
        <v>0</v>
      </c>
      <c r="G231" s="13" t="n">
        <v>0</v>
      </c>
      <c r="H231" s="13" t="n">
        <v>0</v>
      </c>
      <c r="I231" s="13" t="n">
        <v>0</v>
      </c>
      <c r="J231" s="13" t="n">
        <v>0</v>
      </c>
    </row>
    <row r="232" customFormat="false" ht="15" hidden="false" customHeight="false" outlineLevel="0" collapsed="false">
      <c r="A232" s="4" t="s">
        <v>366</v>
      </c>
      <c r="B232" s="13" t="n">
        <v>0</v>
      </c>
      <c r="C232" s="13" t="n">
        <v>0</v>
      </c>
      <c r="D232" s="13" t="n">
        <v>0</v>
      </c>
      <c r="E232" s="13" t="n">
        <v>0</v>
      </c>
      <c r="F232" s="13" t="n">
        <v>0</v>
      </c>
      <c r="G232" s="13" t="n">
        <v>0</v>
      </c>
      <c r="H232" s="13" t="n">
        <v>0</v>
      </c>
      <c r="I232" s="13" t="n">
        <v>0</v>
      </c>
      <c r="J232" s="13" t="n">
        <v>0</v>
      </c>
    </row>
    <row r="233" customFormat="false" ht="15" hidden="false" customHeight="false" outlineLevel="0" collapsed="false">
      <c r="A233" s="4" t="s">
        <v>367</v>
      </c>
      <c r="B233" s="13" t="n">
        <v>1</v>
      </c>
      <c r="C233" s="13" t="n">
        <v>1</v>
      </c>
      <c r="D233" s="13" t="n">
        <v>0</v>
      </c>
      <c r="E233" s="13" t="n">
        <v>0</v>
      </c>
      <c r="F233" s="13" t="n">
        <v>0</v>
      </c>
      <c r="G233" s="13" t="n">
        <v>0</v>
      </c>
      <c r="H233" s="13" t="n">
        <v>0</v>
      </c>
      <c r="I233" s="13" t="n">
        <v>0</v>
      </c>
      <c r="J233" s="13" t="n">
        <v>0</v>
      </c>
    </row>
    <row r="234" customFormat="false" ht="15" hidden="false" customHeight="false" outlineLevel="0" collapsed="false">
      <c r="A234" s="4" t="s">
        <v>368</v>
      </c>
      <c r="B234" s="13" t="n">
        <v>1</v>
      </c>
      <c r="C234" s="13" t="n">
        <v>4</v>
      </c>
      <c r="D234" s="13" t="n">
        <v>0</v>
      </c>
      <c r="E234" s="13" t="n">
        <v>0</v>
      </c>
      <c r="F234" s="13" t="n">
        <v>0</v>
      </c>
      <c r="G234" s="13" t="n">
        <v>0</v>
      </c>
      <c r="H234" s="13" t="n">
        <v>0</v>
      </c>
      <c r="I234" s="13" t="n">
        <v>0</v>
      </c>
      <c r="J234" s="13" t="n">
        <v>0</v>
      </c>
    </row>
    <row r="235" customFormat="false" ht="15" hidden="false" customHeight="false" outlineLevel="0" collapsed="false">
      <c r="A235" s="4" t="s">
        <v>369</v>
      </c>
      <c r="B235" s="13" t="n">
        <v>12</v>
      </c>
      <c r="C235" s="13" t="n">
        <v>21</v>
      </c>
      <c r="D235" s="13" t="n">
        <v>1</v>
      </c>
      <c r="E235" s="13" t="n">
        <v>1</v>
      </c>
      <c r="F235" s="13" t="n">
        <v>1</v>
      </c>
      <c r="G235" s="13" t="n">
        <v>0</v>
      </c>
      <c r="H235" s="13" t="n">
        <v>0</v>
      </c>
      <c r="I235" s="13" t="n">
        <v>0</v>
      </c>
      <c r="J235" s="13" t="n">
        <v>0</v>
      </c>
    </row>
    <row r="236" customFormat="false" ht="15" hidden="false" customHeight="false" outlineLevel="0" collapsed="false">
      <c r="A236" s="4" t="s">
        <v>370</v>
      </c>
      <c r="B236" s="13" t="n">
        <v>4</v>
      </c>
      <c r="C236" s="13" t="n">
        <v>6</v>
      </c>
      <c r="D236" s="13" t="n">
        <v>0</v>
      </c>
      <c r="E236" s="13" t="n">
        <v>0</v>
      </c>
      <c r="F236" s="13" t="n">
        <v>0</v>
      </c>
      <c r="G236" s="13" t="n">
        <v>0</v>
      </c>
      <c r="H236" s="13" t="n">
        <v>0</v>
      </c>
      <c r="I236" s="13" t="n">
        <v>0</v>
      </c>
      <c r="J236" s="13" t="n">
        <v>0</v>
      </c>
    </row>
    <row r="237" customFormat="false" ht="15" hidden="false" customHeight="false" outlineLevel="0" collapsed="false">
      <c r="A237" s="4" t="s">
        <v>371</v>
      </c>
      <c r="B237" s="13" t="n">
        <v>0</v>
      </c>
      <c r="C237" s="13" t="n">
        <v>0</v>
      </c>
      <c r="D237" s="13" t="n">
        <v>0</v>
      </c>
      <c r="E237" s="13" t="n">
        <v>0</v>
      </c>
      <c r="F237" s="13" t="n">
        <v>0</v>
      </c>
      <c r="G237" s="13" t="n">
        <v>0</v>
      </c>
      <c r="H237" s="13" t="n">
        <v>0</v>
      </c>
      <c r="I237" s="13" t="n">
        <v>0</v>
      </c>
      <c r="J237" s="13" t="n">
        <v>0</v>
      </c>
    </row>
    <row r="238" customFormat="false" ht="15" hidden="false" customHeight="false" outlineLevel="0" collapsed="false">
      <c r="A238" s="4" t="s">
        <v>372</v>
      </c>
      <c r="B238" s="13" t="n">
        <v>0</v>
      </c>
      <c r="C238" s="13" t="n">
        <v>0</v>
      </c>
      <c r="D238" s="13" t="n">
        <v>0</v>
      </c>
      <c r="E238" s="13" t="n">
        <v>0</v>
      </c>
      <c r="F238" s="13" t="n">
        <v>0</v>
      </c>
      <c r="G238" s="13" t="n">
        <v>0</v>
      </c>
      <c r="H238" s="13" t="n">
        <v>0</v>
      </c>
      <c r="I238" s="13" t="n">
        <v>0</v>
      </c>
      <c r="J238" s="13" t="n">
        <v>0</v>
      </c>
    </row>
    <row r="239" customFormat="false" ht="15" hidden="false" customHeight="false" outlineLevel="0" collapsed="false">
      <c r="A239" s="4" t="s">
        <v>373</v>
      </c>
      <c r="B239" s="13" t="n">
        <v>0</v>
      </c>
      <c r="C239" s="13" t="n">
        <v>0</v>
      </c>
      <c r="D239" s="13" t="n">
        <v>0</v>
      </c>
      <c r="E239" s="13" t="n">
        <v>0</v>
      </c>
      <c r="F239" s="13" t="n">
        <v>0</v>
      </c>
      <c r="G239" s="13" t="n">
        <v>0</v>
      </c>
      <c r="H239" s="13" t="n">
        <v>0</v>
      </c>
      <c r="I239" s="13" t="n">
        <v>0</v>
      </c>
      <c r="J239" s="13" t="n">
        <v>0</v>
      </c>
    </row>
    <row r="240" customFormat="false" ht="15" hidden="false" customHeight="false" outlineLevel="0" collapsed="false">
      <c r="A240" s="4" t="s">
        <v>374</v>
      </c>
      <c r="B240" s="13" t="n">
        <v>1</v>
      </c>
      <c r="C240" s="13" t="n">
        <v>2</v>
      </c>
      <c r="D240" s="13" t="n">
        <v>0</v>
      </c>
      <c r="E240" s="13" t="n">
        <v>0</v>
      </c>
      <c r="F240" s="13" t="n">
        <v>0</v>
      </c>
      <c r="G240" s="13" t="n">
        <v>0</v>
      </c>
      <c r="H240" s="13" t="n">
        <v>0</v>
      </c>
      <c r="I240" s="13" t="n">
        <v>0</v>
      </c>
      <c r="J240" s="13" t="n">
        <v>0</v>
      </c>
    </row>
    <row r="241" customFormat="false" ht="15" hidden="false" customHeight="false" outlineLevel="0" collapsed="false">
      <c r="A241" s="4" t="s">
        <v>375</v>
      </c>
      <c r="B241" s="13" t="n">
        <v>0</v>
      </c>
      <c r="C241" s="13" t="n">
        <v>0</v>
      </c>
      <c r="D241" s="13" t="n">
        <v>0</v>
      </c>
      <c r="E241" s="13" t="n">
        <v>0</v>
      </c>
      <c r="F241" s="13" t="n">
        <v>0</v>
      </c>
      <c r="G241" s="13" t="n">
        <v>0</v>
      </c>
      <c r="H241" s="13" t="n">
        <v>0</v>
      </c>
      <c r="I241" s="13" t="n">
        <v>0</v>
      </c>
      <c r="J241" s="13" t="n">
        <v>0</v>
      </c>
    </row>
    <row r="242" customFormat="false" ht="15" hidden="false" customHeight="false" outlineLevel="0" collapsed="false">
      <c r="A242" s="4" t="s">
        <v>376</v>
      </c>
      <c r="B242" s="13" t="n">
        <v>16</v>
      </c>
      <c r="C242" s="13" t="n">
        <v>26</v>
      </c>
      <c r="D242" s="13" t="n">
        <v>3</v>
      </c>
      <c r="E242" s="13" t="n">
        <v>3</v>
      </c>
      <c r="F242" s="13" t="n">
        <v>3</v>
      </c>
      <c r="G242" s="13" t="n">
        <v>0</v>
      </c>
      <c r="H242" s="13" t="n">
        <v>0</v>
      </c>
      <c r="I242" s="13" t="n">
        <v>0</v>
      </c>
      <c r="J242" s="13" t="n">
        <v>0</v>
      </c>
    </row>
    <row r="243" customFormat="false" ht="15" hidden="false" customHeight="false" outlineLevel="0" collapsed="false">
      <c r="A243" s="4" t="s">
        <v>377</v>
      </c>
      <c r="B243" s="13" t="n">
        <v>3</v>
      </c>
      <c r="C243" s="13" t="n">
        <v>7</v>
      </c>
      <c r="D243" s="13" t="n">
        <v>0</v>
      </c>
      <c r="E243" s="13" t="n">
        <v>0</v>
      </c>
      <c r="F243" s="13" t="n">
        <v>0</v>
      </c>
      <c r="G243" s="13" t="n">
        <v>0</v>
      </c>
      <c r="H243" s="13" t="n">
        <v>0</v>
      </c>
      <c r="I243" s="13" t="n">
        <v>0</v>
      </c>
      <c r="J243" s="13" t="n">
        <v>0</v>
      </c>
    </row>
    <row r="244" customFormat="false" ht="15" hidden="false" customHeight="false" outlineLevel="0" collapsed="false">
      <c r="A244" s="4" t="s">
        <v>156</v>
      </c>
      <c r="B244" s="13" t="n">
        <v>29</v>
      </c>
      <c r="C244" s="13" t="n">
        <v>30</v>
      </c>
      <c r="D244" s="13" t="n">
        <v>0</v>
      </c>
      <c r="E244" s="13" t="n">
        <v>0</v>
      </c>
      <c r="F244" s="13" t="n">
        <v>0</v>
      </c>
      <c r="G244" s="13" t="n">
        <v>0</v>
      </c>
      <c r="H244" s="13" t="n">
        <v>0</v>
      </c>
      <c r="I244" s="13" t="n">
        <v>0</v>
      </c>
      <c r="J244" s="13" t="n">
        <v>0</v>
      </c>
    </row>
    <row r="245" customFormat="false" ht="15" hidden="false" customHeight="false" outlineLevel="0" collapsed="false">
      <c r="A245" s="4" t="s">
        <v>157</v>
      </c>
      <c r="B245" s="13" t="n">
        <v>3</v>
      </c>
      <c r="C245" s="13" t="n">
        <v>2</v>
      </c>
      <c r="D245" s="13" t="n">
        <v>0</v>
      </c>
      <c r="E245" s="13" t="n">
        <v>0</v>
      </c>
      <c r="F245" s="13" t="n">
        <v>0</v>
      </c>
      <c r="G245" s="13" t="n">
        <v>0</v>
      </c>
      <c r="H245" s="13" t="n">
        <v>0</v>
      </c>
      <c r="I245" s="13" t="n">
        <v>0</v>
      </c>
      <c r="J245" s="13" t="n">
        <v>0</v>
      </c>
    </row>
    <row r="246" customFormat="false" ht="15" hidden="false" customHeight="false" outlineLevel="0" collapsed="false">
      <c r="A246" s="4" t="s">
        <v>158</v>
      </c>
      <c r="B246" s="13" t="n">
        <v>6</v>
      </c>
      <c r="C246" s="13" t="n">
        <v>12</v>
      </c>
      <c r="D246" s="13" t="n">
        <v>0</v>
      </c>
      <c r="E246" s="13" t="n">
        <v>0</v>
      </c>
      <c r="F246" s="13" t="n">
        <v>0</v>
      </c>
      <c r="G246" s="13" t="n">
        <v>0</v>
      </c>
      <c r="H246" s="13" t="n">
        <v>0</v>
      </c>
      <c r="I246" s="13" t="n">
        <v>0</v>
      </c>
      <c r="J246" s="13" t="n">
        <v>0</v>
      </c>
    </row>
    <row r="247" customFormat="false" ht="15" hidden="false" customHeight="false" outlineLevel="0" collapsed="false">
      <c r="A247" s="4" t="s">
        <v>159</v>
      </c>
      <c r="B247" s="13" t="n">
        <v>0</v>
      </c>
      <c r="C247" s="13" t="n">
        <v>0</v>
      </c>
      <c r="D247" s="13" t="n">
        <v>0</v>
      </c>
      <c r="E247" s="13" t="n">
        <v>0</v>
      </c>
      <c r="F247" s="13" t="n">
        <v>0</v>
      </c>
      <c r="G247" s="13" t="n">
        <v>0</v>
      </c>
      <c r="H247" s="13" t="n">
        <v>0</v>
      </c>
      <c r="I247" s="13" t="n">
        <v>0</v>
      </c>
      <c r="J247" s="13" t="n">
        <v>0</v>
      </c>
    </row>
    <row r="248" customFormat="false" ht="15" hidden="false" customHeight="false" outlineLevel="0" collapsed="false">
      <c r="A248" s="4" t="s">
        <v>160</v>
      </c>
      <c r="B248" s="13" t="n">
        <v>1</v>
      </c>
      <c r="C248" s="13" t="n">
        <v>11</v>
      </c>
      <c r="D248" s="13" t="n">
        <v>0</v>
      </c>
      <c r="E248" s="13" t="n">
        <v>0</v>
      </c>
      <c r="F248" s="13" t="n">
        <v>0</v>
      </c>
      <c r="G248" s="13" t="n">
        <v>0</v>
      </c>
      <c r="H248" s="13" t="n">
        <v>0</v>
      </c>
      <c r="I248" s="13" t="n">
        <v>0</v>
      </c>
      <c r="J248" s="13" t="n">
        <v>0</v>
      </c>
    </row>
    <row r="249" customFormat="false" ht="15" hidden="false" customHeight="false" outlineLevel="0" collapsed="false">
      <c r="A249" s="4" t="s">
        <v>161</v>
      </c>
      <c r="B249" s="13" t="n">
        <v>126</v>
      </c>
      <c r="C249" s="13" t="n">
        <v>153</v>
      </c>
      <c r="D249" s="13" t="n">
        <v>7</v>
      </c>
      <c r="E249" s="13" t="n">
        <v>7</v>
      </c>
      <c r="F249" s="13" t="n">
        <v>7</v>
      </c>
      <c r="G249" s="13" t="n">
        <v>0</v>
      </c>
      <c r="H249" s="13" t="n">
        <v>0</v>
      </c>
      <c r="I249" s="13" t="n">
        <v>0</v>
      </c>
      <c r="J249" s="13" t="n">
        <v>0</v>
      </c>
    </row>
    <row r="250" customFormat="false" ht="15" hidden="false" customHeight="false" outlineLevel="0" collapsed="false">
      <c r="A250" s="4" t="s">
        <v>162</v>
      </c>
      <c r="B250" s="13" t="n">
        <v>17</v>
      </c>
      <c r="C250" s="13" t="n">
        <v>38</v>
      </c>
      <c r="D250" s="13" t="n">
        <v>2</v>
      </c>
      <c r="E250" s="13" t="n">
        <v>2</v>
      </c>
      <c r="F250" s="13" t="n">
        <v>1</v>
      </c>
      <c r="G250" s="13" t="n">
        <v>0</v>
      </c>
      <c r="H250" s="13" t="n">
        <v>0</v>
      </c>
      <c r="I250" s="13" t="n">
        <v>0</v>
      </c>
      <c r="J250" s="13" t="n">
        <v>0</v>
      </c>
    </row>
    <row r="251" customFormat="false" ht="15" hidden="false" customHeight="false" outlineLevel="0" collapsed="false">
      <c r="A251" s="4" t="s">
        <v>163</v>
      </c>
      <c r="B251" s="13" t="n">
        <v>1</v>
      </c>
      <c r="C251" s="13" t="n">
        <v>1</v>
      </c>
      <c r="D251" s="13" t="n">
        <v>0</v>
      </c>
      <c r="E251" s="13" t="n">
        <v>0</v>
      </c>
      <c r="F251" s="13" t="n">
        <v>0</v>
      </c>
      <c r="G251" s="13" t="n">
        <v>0</v>
      </c>
      <c r="H251" s="13" t="n">
        <v>0</v>
      </c>
      <c r="I251" s="13" t="n">
        <v>0</v>
      </c>
      <c r="J251" s="13" t="n">
        <v>0</v>
      </c>
    </row>
    <row r="252" customFormat="false" ht="15" hidden="false" customHeight="false" outlineLevel="0" collapsed="false">
      <c r="A252" s="4" t="s">
        <v>164</v>
      </c>
      <c r="B252" s="13" t="n">
        <v>0</v>
      </c>
      <c r="C252" s="13" t="n">
        <v>0</v>
      </c>
      <c r="D252" s="13" t="n">
        <v>0</v>
      </c>
      <c r="E252" s="13" t="n">
        <v>0</v>
      </c>
      <c r="F252" s="13" t="n">
        <v>0</v>
      </c>
      <c r="G252" s="13" t="n">
        <v>0</v>
      </c>
      <c r="H252" s="13" t="n">
        <v>0</v>
      </c>
      <c r="I252" s="13" t="n">
        <v>0</v>
      </c>
      <c r="J252" s="13" t="n">
        <v>0</v>
      </c>
    </row>
    <row r="253" customFormat="false" ht="15" hidden="false" customHeight="false" outlineLevel="0" collapsed="false">
      <c r="A253" s="4" t="s">
        <v>165</v>
      </c>
      <c r="B253" s="13" t="n">
        <v>0</v>
      </c>
      <c r="C253" s="13" t="n">
        <v>0</v>
      </c>
      <c r="D253" s="13" t="n">
        <v>0</v>
      </c>
      <c r="E253" s="13" t="n">
        <v>0</v>
      </c>
      <c r="F253" s="13" t="n">
        <v>0</v>
      </c>
      <c r="G253" s="13" t="n">
        <v>0</v>
      </c>
      <c r="H253" s="13" t="n">
        <v>0</v>
      </c>
      <c r="I253" s="13" t="n">
        <v>0</v>
      </c>
      <c r="J253" s="13" t="n">
        <v>0</v>
      </c>
    </row>
    <row r="254" customFormat="false" ht="15" hidden="false" customHeight="false" outlineLevel="0" collapsed="false">
      <c r="A254" s="4" t="s">
        <v>166</v>
      </c>
      <c r="B254" s="13" t="n">
        <v>0</v>
      </c>
      <c r="C254" s="13" t="n">
        <v>0</v>
      </c>
      <c r="D254" s="13" t="n">
        <v>0</v>
      </c>
      <c r="E254" s="13" t="n">
        <v>0</v>
      </c>
      <c r="F254" s="13" t="n">
        <v>0</v>
      </c>
      <c r="G254" s="13" t="n">
        <v>0</v>
      </c>
      <c r="H254" s="13" t="n">
        <v>0</v>
      </c>
      <c r="I254" s="13" t="n">
        <v>0</v>
      </c>
      <c r="J254" s="13" t="n">
        <v>0</v>
      </c>
    </row>
    <row r="255" customFormat="false" ht="15" hidden="false" customHeight="false" outlineLevel="0" collapsed="false">
      <c r="A255" s="4" t="s">
        <v>167</v>
      </c>
      <c r="B255" s="13" t="n">
        <v>12</v>
      </c>
      <c r="C255" s="13" t="n">
        <v>71</v>
      </c>
      <c r="D255" s="13" t="n">
        <v>0</v>
      </c>
      <c r="E255" s="13" t="n">
        <v>0</v>
      </c>
      <c r="F255" s="13" t="n">
        <v>0</v>
      </c>
      <c r="G255" s="13" t="n">
        <v>0</v>
      </c>
      <c r="H255" s="13" t="n">
        <v>0</v>
      </c>
      <c r="I255" s="13" t="n">
        <v>0</v>
      </c>
      <c r="J255" s="13" t="n">
        <v>0</v>
      </c>
    </row>
    <row r="256" customFormat="false" ht="15" hidden="false" customHeight="false" outlineLevel="0" collapsed="false">
      <c r="A256" s="4" t="s">
        <v>168</v>
      </c>
      <c r="B256" s="13" t="n">
        <v>2</v>
      </c>
      <c r="C256" s="13" t="n">
        <v>14</v>
      </c>
      <c r="D256" s="13" t="n">
        <v>0</v>
      </c>
      <c r="E256" s="13" t="n">
        <v>0</v>
      </c>
      <c r="F256" s="13" t="n">
        <v>0</v>
      </c>
      <c r="G256" s="13" t="n">
        <v>0</v>
      </c>
      <c r="H256" s="13" t="n">
        <v>0</v>
      </c>
      <c r="I256" s="13" t="n">
        <v>0</v>
      </c>
      <c r="J256" s="13" t="n">
        <v>0</v>
      </c>
    </row>
    <row r="257" customFormat="false" ht="15" hidden="false" customHeight="false" outlineLevel="0" collapsed="false">
      <c r="A257" s="4" t="s">
        <v>169</v>
      </c>
      <c r="B257" s="13" t="n">
        <v>1</v>
      </c>
      <c r="C257" s="13" t="n">
        <v>9</v>
      </c>
      <c r="D257" s="13" t="n">
        <v>0</v>
      </c>
      <c r="E257" s="13" t="n">
        <v>0</v>
      </c>
      <c r="F257" s="13" t="n">
        <v>0</v>
      </c>
      <c r="G257" s="13" t="n">
        <v>0</v>
      </c>
      <c r="H257" s="13" t="n">
        <v>0</v>
      </c>
      <c r="I257" s="13" t="n">
        <v>0</v>
      </c>
      <c r="J257" s="13" t="n">
        <v>0</v>
      </c>
    </row>
    <row r="258" customFormat="false" ht="15" hidden="false" customHeight="false" outlineLevel="0" collapsed="false">
      <c r="A258" s="4" t="s">
        <v>170</v>
      </c>
      <c r="B258" s="13" t="n">
        <v>317</v>
      </c>
      <c r="C258" s="13" t="n">
        <v>412</v>
      </c>
      <c r="D258" s="13" t="n">
        <v>1</v>
      </c>
      <c r="E258" s="13" t="n">
        <v>1</v>
      </c>
      <c r="F258" s="13" t="n">
        <v>1</v>
      </c>
      <c r="G258" s="13" t="n">
        <v>0</v>
      </c>
      <c r="H258" s="13" t="n">
        <v>0</v>
      </c>
      <c r="I258" s="13" t="n">
        <v>0</v>
      </c>
      <c r="J258" s="13" t="n">
        <v>0</v>
      </c>
    </row>
    <row r="259" customFormat="false" ht="15" hidden="false" customHeight="false" outlineLevel="0" collapsed="false">
      <c r="A259" s="4" t="s">
        <v>171</v>
      </c>
      <c r="B259" s="13" t="n">
        <v>268</v>
      </c>
      <c r="C259" s="13" t="n">
        <v>306</v>
      </c>
      <c r="D259" s="13" t="n">
        <v>0</v>
      </c>
      <c r="E259" s="13" t="n">
        <v>0</v>
      </c>
      <c r="F259" s="13" t="n">
        <v>0</v>
      </c>
      <c r="G259" s="13" t="n">
        <v>0</v>
      </c>
      <c r="H259" s="13" t="n">
        <v>0</v>
      </c>
      <c r="I259" s="13" t="n">
        <v>0</v>
      </c>
      <c r="J259" s="13" t="n">
        <v>0</v>
      </c>
    </row>
    <row r="260" customFormat="false" ht="15" hidden="false" customHeight="false" outlineLevel="0" collapsed="false">
      <c r="A260" s="4" t="s">
        <v>172</v>
      </c>
      <c r="B260" s="13" t="n">
        <v>268</v>
      </c>
      <c r="C260" s="13" t="n">
        <v>302</v>
      </c>
      <c r="D260" s="13" t="n">
        <v>0</v>
      </c>
      <c r="E260" s="13" t="n">
        <v>0</v>
      </c>
      <c r="F260" s="13" t="n">
        <v>0</v>
      </c>
      <c r="G260" s="13" t="n">
        <v>0</v>
      </c>
      <c r="H260" s="13" t="n">
        <v>0</v>
      </c>
      <c r="I260" s="13" t="n">
        <v>0</v>
      </c>
      <c r="J260" s="13" t="n">
        <v>0</v>
      </c>
    </row>
    <row r="261" customFormat="false" ht="15" hidden="false" customHeight="false" outlineLevel="0" collapsed="false">
      <c r="A261" s="4" t="s">
        <v>173</v>
      </c>
      <c r="B261" s="13" t="n">
        <v>277</v>
      </c>
      <c r="C261" s="13" t="n">
        <v>308</v>
      </c>
      <c r="D261" s="13" t="n">
        <v>1</v>
      </c>
      <c r="E261" s="13" t="n">
        <v>4</v>
      </c>
      <c r="F261" s="13" t="n">
        <v>0</v>
      </c>
      <c r="G261" s="13" t="n">
        <v>0</v>
      </c>
      <c r="H261" s="13" t="n">
        <v>4</v>
      </c>
      <c r="I261" s="13" t="n">
        <v>0</v>
      </c>
      <c r="J261" s="13" t="n">
        <v>0</v>
      </c>
    </row>
    <row r="262" customFormat="false" ht="15" hidden="false" customHeight="false" outlineLevel="0" collapsed="false">
      <c r="A262" s="4" t="s">
        <v>174</v>
      </c>
      <c r="B262" s="13" t="n">
        <v>265</v>
      </c>
      <c r="C262" s="13" t="n">
        <v>355</v>
      </c>
      <c r="D262" s="13" t="n">
        <v>1</v>
      </c>
      <c r="E262" s="13" t="n">
        <v>1</v>
      </c>
      <c r="F262" s="13" t="n">
        <v>1</v>
      </c>
      <c r="G262" s="13" t="n">
        <v>0</v>
      </c>
      <c r="H262" s="13" t="n">
        <v>0</v>
      </c>
      <c r="I262" s="13" t="n">
        <v>0</v>
      </c>
      <c r="J262" s="13" t="n">
        <v>0</v>
      </c>
    </row>
    <row r="263" customFormat="false" ht="15" hidden="false" customHeight="false" outlineLevel="0" collapsed="false">
      <c r="A263" s="4" t="s">
        <v>175</v>
      </c>
      <c r="B263" s="13" t="n">
        <v>242</v>
      </c>
      <c r="C263" s="13" t="n">
        <v>298</v>
      </c>
      <c r="D263" s="13" t="n">
        <v>1</v>
      </c>
      <c r="E263" s="13" t="n">
        <v>1</v>
      </c>
      <c r="F263" s="13" t="n">
        <v>0</v>
      </c>
      <c r="G263" s="13" t="n">
        <v>0</v>
      </c>
      <c r="H263" s="13" t="n">
        <v>1</v>
      </c>
      <c r="I263" s="13" t="n">
        <v>0</v>
      </c>
      <c r="J263" s="13" t="n">
        <v>0</v>
      </c>
    </row>
    <row r="264" customFormat="false" ht="15" hidden="false" customHeight="false" outlineLevel="0" collapsed="false">
      <c r="A264" s="4" t="s">
        <v>176</v>
      </c>
      <c r="B264" s="13" t="n">
        <v>183</v>
      </c>
      <c r="C264" s="13" t="n">
        <v>239</v>
      </c>
      <c r="D264" s="13" t="n">
        <v>2</v>
      </c>
      <c r="E264" s="13" t="n">
        <v>2</v>
      </c>
      <c r="F264" s="13" t="n">
        <v>2</v>
      </c>
      <c r="G264" s="13" t="n">
        <v>0</v>
      </c>
      <c r="H264" s="13" t="n">
        <v>0</v>
      </c>
      <c r="I264" s="13" t="n">
        <v>0</v>
      </c>
      <c r="J264" s="13" t="n">
        <v>0</v>
      </c>
    </row>
    <row r="265" customFormat="false" ht="15" hidden="false" customHeight="false" outlineLevel="0" collapsed="false">
      <c r="A265" s="4" t="s">
        <v>177</v>
      </c>
      <c r="B265" s="13" t="n">
        <v>168</v>
      </c>
      <c r="C265" s="13" t="n">
        <v>215</v>
      </c>
      <c r="D265" s="13" t="n">
        <v>1</v>
      </c>
      <c r="E265" s="13" t="n">
        <v>2</v>
      </c>
      <c r="F265" s="13" t="n">
        <v>2</v>
      </c>
      <c r="G265" s="13" t="n">
        <v>0</v>
      </c>
      <c r="H265" s="13" t="n">
        <v>0</v>
      </c>
      <c r="I265" s="13" t="n">
        <v>0</v>
      </c>
      <c r="J265" s="13" t="n">
        <v>0</v>
      </c>
    </row>
    <row r="266" customFormat="false" ht="15" hidden="false" customHeight="false" outlineLevel="0" collapsed="false">
      <c r="A266" s="4" t="s">
        <v>178</v>
      </c>
      <c r="B266" s="13" t="n">
        <v>205</v>
      </c>
      <c r="C266" s="13" t="n">
        <v>232</v>
      </c>
      <c r="D266" s="13" t="n">
        <v>1</v>
      </c>
      <c r="E266" s="13" t="n">
        <v>0</v>
      </c>
      <c r="F266" s="13" t="n">
        <v>1</v>
      </c>
      <c r="G266" s="13" t="n">
        <v>0</v>
      </c>
      <c r="H266" s="13" t="n">
        <v>-1</v>
      </c>
      <c r="I266" s="13" t="n">
        <v>0</v>
      </c>
      <c r="J266" s="13" t="n">
        <v>0</v>
      </c>
    </row>
    <row r="267" customFormat="false" ht="15" hidden="false" customHeight="false" outlineLevel="0" collapsed="false">
      <c r="A267" s="4" t="s">
        <v>179</v>
      </c>
      <c r="B267" s="13" t="n">
        <v>261</v>
      </c>
      <c r="C267" s="13" t="n">
        <v>302</v>
      </c>
      <c r="D267" s="13" t="n">
        <v>0</v>
      </c>
      <c r="E267" s="13" t="n">
        <v>0</v>
      </c>
      <c r="F267" s="13" t="n">
        <v>0</v>
      </c>
      <c r="G267" s="13" t="n">
        <v>0</v>
      </c>
      <c r="H267" s="13" t="n">
        <v>0</v>
      </c>
      <c r="I267" s="13" t="n">
        <v>0</v>
      </c>
      <c r="J267" s="13" t="n">
        <v>0</v>
      </c>
    </row>
    <row r="268" customFormat="false" ht="15" hidden="false" customHeight="false" outlineLevel="0" collapsed="false">
      <c r="A268" s="4" t="s">
        <v>180</v>
      </c>
      <c r="B268" s="13" t="n">
        <v>215</v>
      </c>
      <c r="C268" s="13" t="n">
        <v>264</v>
      </c>
      <c r="D268" s="13" t="n">
        <v>1</v>
      </c>
      <c r="E268" s="13" t="n">
        <v>1</v>
      </c>
      <c r="F268" s="13" t="n">
        <v>0</v>
      </c>
      <c r="G268" s="13" t="n">
        <v>0</v>
      </c>
      <c r="H268" s="13" t="n">
        <v>1</v>
      </c>
      <c r="I268" s="13" t="n">
        <v>0</v>
      </c>
      <c r="J268" s="13" t="n">
        <v>0</v>
      </c>
    </row>
    <row r="269" customFormat="false" ht="15" hidden="false" customHeight="false" outlineLevel="0" collapsed="false">
      <c r="A269" s="4" t="s">
        <v>181</v>
      </c>
      <c r="B269" s="13" t="n">
        <v>183</v>
      </c>
      <c r="C269" s="13" t="n">
        <v>220</v>
      </c>
      <c r="D269" s="13" t="n">
        <v>0</v>
      </c>
      <c r="E269" s="13" t="n">
        <v>0</v>
      </c>
      <c r="F269" s="13" t="n">
        <v>0</v>
      </c>
      <c r="G269" s="13" t="n">
        <v>0</v>
      </c>
      <c r="H269" s="13" t="n">
        <v>0</v>
      </c>
      <c r="I269" s="13" t="n">
        <v>0</v>
      </c>
      <c r="J269" s="13" t="n">
        <v>0</v>
      </c>
    </row>
    <row r="270" customFormat="false" ht="15" hidden="false" customHeight="false" outlineLevel="0" collapsed="false">
      <c r="A270" s="4" t="s">
        <v>182</v>
      </c>
      <c r="B270" s="13" t="n">
        <v>218</v>
      </c>
      <c r="C270" s="13" t="n">
        <v>327</v>
      </c>
      <c r="D270" s="13" t="n">
        <v>3</v>
      </c>
      <c r="E270" s="13" t="n">
        <v>5</v>
      </c>
      <c r="F270" s="13" t="n">
        <v>3</v>
      </c>
      <c r="G270" s="13" t="n">
        <v>0</v>
      </c>
      <c r="H270" s="13" t="n">
        <v>0</v>
      </c>
      <c r="I270" s="13" t="n">
        <v>1</v>
      </c>
      <c r="J270" s="13" t="n">
        <v>0</v>
      </c>
    </row>
    <row r="271" customFormat="false" ht="15" hidden="false" customHeight="false" outlineLevel="0" collapsed="false">
      <c r="A271" s="4" t="s">
        <v>183</v>
      </c>
      <c r="B271" s="13" t="n">
        <v>277</v>
      </c>
      <c r="C271" s="13" t="n">
        <v>320</v>
      </c>
      <c r="D271" s="13" t="n">
        <v>0</v>
      </c>
      <c r="E271" s="13" t="n">
        <v>0</v>
      </c>
      <c r="F271" s="13" t="n">
        <v>0</v>
      </c>
      <c r="G271" s="13" t="n">
        <v>0</v>
      </c>
      <c r="H271" s="13" t="n">
        <v>0</v>
      </c>
      <c r="I271" s="13" t="n">
        <v>0</v>
      </c>
      <c r="J271" s="13" t="n">
        <v>0</v>
      </c>
    </row>
    <row r="272" customFormat="false" ht="15" hidden="false" customHeight="false" outlineLevel="0" collapsed="false">
      <c r="A272" s="4" t="s">
        <v>184</v>
      </c>
      <c r="B272" s="13" t="n">
        <v>229</v>
      </c>
      <c r="C272" s="13" t="n">
        <v>311</v>
      </c>
      <c r="D272" s="13" t="n">
        <v>1</v>
      </c>
      <c r="E272" s="13" t="n">
        <v>1</v>
      </c>
      <c r="F272" s="13" t="n">
        <v>1</v>
      </c>
      <c r="G272" s="13" t="n">
        <v>0</v>
      </c>
      <c r="H272" s="13" t="n">
        <v>0</v>
      </c>
      <c r="I272" s="13" t="n">
        <v>0</v>
      </c>
      <c r="J272" s="13" t="n">
        <v>0</v>
      </c>
    </row>
    <row r="273" customFormat="false" ht="15" hidden="false" customHeight="false" outlineLevel="0" collapsed="false">
      <c r="A273" s="4" t="s">
        <v>185</v>
      </c>
      <c r="B273" s="13" t="n">
        <v>263</v>
      </c>
      <c r="C273" s="13" t="n">
        <v>303</v>
      </c>
      <c r="D273" s="13" t="n">
        <v>0</v>
      </c>
      <c r="E273" s="13" t="n">
        <v>0</v>
      </c>
      <c r="F273" s="13" t="n">
        <v>0</v>
      </c>
      <c r="G273" s="13" t="n">
        <v>0</v>
      </c>
      <c r="H273" s="13" t="n">
        <v>0</v>
      </c>
      <c r="I273" s="13" t="n">
        <v>0</v>
      </c>
      <c r="J273" s="13" t="n">
        <v>0</v>
      </c>
    </row>
    <row r="274" customFormat="false" ht="15" hidden="false" customHeight="false" outlineLevel="0" collapsed="false">
      <c r="A274" s="4" t="s">
        <v>186</v>
      </c>
      <c r="B274" s="13" t="n">
        <v>195</v>
      </c>
      <c r="C274" s="13" t="n">
        <v>210</v>
      </c>
      <c r="D274" s="13" t="n">
        <v>2</v>
      </c>
      <c r="E274" s="13" t="n">
        <v>2</v>
      </c>
      <c r="F274" s="13" t="n">
        <v>2</v>
      </c>
      <c r="G274" s="13" t="n">
        <v>0</v>
      </c>
      <c r="H274" s="13" t="n">
        <v>0</v>
      </c>
      <c r="I274" s="13" t="n">
        <v>0</v>
      </c>
      <c r="J274" s="13" t="n">
        <v>0</v>
      </c>
    </row>
    <row r="275" customFormat="false" ht="15" hidden="false" customHeight="false" outlineLevel="0" collapsed="false">
      <c r="A275" s="4" t="s">
        <v>187</v>
      </c>
      <c r="B275" s="13" t="n">
        <v>203</v>
      </c>
      <c r="C275" s="13" t="n">
        <v>328</v>
      </c>
      <c r="D275" s="13" t="n">
        <v>0</v>
      </c>
      <c r="E275" s="13" t="n">
        <v>0</v>
      </c>
      <c r="F275" s="13" t="n">
        <v>0</v>
      </c>
      <c r="G275" s="13" t="n">
        <v>0</v>
      </c>
      <c r="H275" s="13" t="n">
        <v>0</v>
      </c>
      <c r="I275" s="13" t="n">
        <v>0</v>
      </c>
      <c r="J275" s="13" t="n">
        <v>0</v>
      </c>
    </row>
    <row r="276" customFormat="false" ht="15" hidden="false" customHeight="false" outlineLevel="0" collapsed="false">
      <c r="A276" s="4" t="s">
        <v>188</v>
      </c>
      <c r="B276" s="13" t="n">
        <v>109</v>
      </c>
      <c r="C276" s="13" t="n">
        <v>119</v>
      </c>
      <c r="D276" s="13" t="n">
        <v>0</v>
      </c>
      <c r="E276" s="13" t="n">
        <v>0</v>
      </c>
      <c r="F276" s="13" t="n">
        <v>0</v>
      </c>
      <c r="G276" s="13" t="n">
        <v>0</v>
      </c>
      <c r="H276" s="13" t="n">
        <v>0</v>
      </c>
      <c r="I276" s="13" t="n">
        <v>0</v>
      </c>
      <c r="J276" s="13" t="n">
        <v>0</v>
      </c>
    </row>
    <row r="277" customFormat="false" ht="15" hidden="false" customHeight="false" outlineLevel="0" collapsed="false">
      <c r="A277" s="4" t="s">
        <v>189</v>
      </c>
      <c r="B277" s="13" t="n">
        <v>43</v>
      </c>
      <c r="C277" s="13" t="n">
        <v>129</v>
      </c>
      <c r="D277" s="13" t="n">
        <v>1</v>
      </c>
      <c r="E277" s="13" t="n">
        <v>1</v>
      </c>
      <c r="F277" s="13" t="n">
        <v>1</v>
      </c>
      <c r="G277" s="13" t="n">
        <v>0</v>
      </c>
      <c r="H277" s="13" t="n">
        <v>0</v>
      </c>
      <c r="I277" s="13" t="n">
        <v>0</v>
      </c>
      <c r="J277" s="13" t="n">
        <v>0</v>
      </c>
    </row>
    <row r="278" customFormat="false" ht="15" hidden="false" customHeight="false" outlineLevel="0" collapsed="false">
      <c r="A278" s="4" t="s">
        <v>190</v>
      </c>
      <c r="B278" s="13" t="n">
        <v>14</v>
      </c>
      <c r="C278" s="13" t="n">
        <v>38</v>
      </c>
      <c r="D278" s="13" t="n">
        <v>0</v>
      </c>
      <c r="E278" s="13" t="n">
        <v>0</v>
      </c>
      <c r="F278" s="13" t="n">
        <v>0</v>
      </c>
      <c r="G278" s="13" t="n">
        <v>0</v>
      </c>
      <c r="H278" s="13" t="n">
        <v>0</v>
      </c>
      <c r="I278" s="13" t="n">
        <v>0</v>
      </c>
      <c r="J278" s="13" t="n">
        <v>0</v>
      </c>
    </row>
  </sheetData>
  <autoFilter ref="A4:J2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4"/>
  </cols>
  <sheetData>
    <row r="1" customFormat="false" ht="17.35" hidden="false" customHeight="false" outlineLevel="0" collapsed="false">
      <c r="A1" s="10" t="s">
        <v>467</v>
      </c>
    </row>
    <row r="2" customFormat="false" ht="15" hidden="false" customHeight="false" outlineLevel="0" collapsed="false">
      <c r="A2" s="2" t="s">
        <v>468</v>
      </c>
    </row>
    <row r="4" customFormat="false" ht="31.5" hidden="false" customHeight="true" outlineLevel="0" collapsed="false">
      <c r="A4" s="11" t="s">
        <v>80</v>
      </c>
      <c r="B4" s="11" t="s">
        <v>469</v>
      </c>
      <c r="C4" s="11" t="s">
        <v>12</v>
      </c>
      <c r="D4" s="11" t="s">
        <v>13</v>
      </c>
      <c r="E4" s="11" t="s">
        <v>464</v>
      </c>
      <c r="F4" s="11" t="s">
        <v>465</v>
      </c>
      <c r="G4" s="11" t="s">
        <v>397</v>
      </c>
    </row>
    <row r="5" customFormat="false" ht="15" hidden="false" customHeight="false" outlineLevel="0" collapsed="false">
      <c r="A5" s="4" t="s">
        <v>380</v>
      </c>
      <c r="B5" s="13" t="n">
        <f aca="false">SUMPRODUCT((LEFT('IG Giornaliero'!$A$5:$A$278,7)=$A5)*'IG Giornaliero'!B$5:B$278)</f>
        <v>0</v>
      </c>
      <c r="C5" s="13" t="n">
        <f aca="false">SUMPRODUCT((LEFT('IG Giornaliero'!$A$5:$A$278,7)=$A5)*'IG Giornaliero'!C$5:C$278)</f>
        <v>0</v>
      </c>
      <c r="D5" s="13" t="n">
        <f aca="false">SUMPRODUCT((LEFT('IG Giornaliero'!$A$5:$A$278,7)=$A5)*'IG Giornaliero'!E$5:E$278)</f>
        <v>0</v>
      </c>
      <c r="E5" s="13" t="n">
        <f aca="false">SUMPRODUCT((LEFT('IG Giornaliero'!$A$5:$A$278,7)=$A5)*'IG Giornaliero'!F$5:F$278)</f>
        <v>0</v>
      </c>
      <c r="F5" s="13" t="n">
        <f aca="false">SUMPRODUCT((LEFT('IG Giornaliero'!$A$5:$A$278,7)=$A5)*'IG Giornaliero'!H$5:H$278)</f>
        <v>0</v>
      </c>
      <c r="G5" s="13" t="n">
        <f aca="false">SUMPRODUCT((LEFT('IG Giornaliero'!$A$5:$A$278,7)=$A5)*'IG Giornaliero'!I$5:I$278)</f>
        <v>0</v>
      </c>
    </row>
    <row r="6" customFormat="false" ht="15" hidden="false" customHeight="false" outlineLevel="0" collapsed="false">
      <c r="A6" s="4" t="s">
        <v>381</v>
      </c>
      <c r="B6" s="13" t="n">
        <f aca="false">SUMPRODUCT((LEFT('IG Giornaliero'!$A$5:$A$278,7)=$A6)*'IG Giornaliero'!B$5:B$278)</f>
        <v>141</v>
      </c>
      <c r="C6" s="13" t="n">
        <f aca="false">SUMPRODUCT((LEFT('IG Giornaliero'!$A$5:$A$278,7)=$A6)*'IG Giornaliero'!C$5:C$278)</f>
        <v>348</v>
      </c>
      <c r="D6" s="13" t="n">
        <f aca="false">SUMPRODUCT((LEFT('IG Giornaliero'!$A$5:$A$278,7)=$A6)*'IG Giornaliero'!E$5:E$278)</f>
        <v>22</v>
      </c>
      <c r="E6" s="13" t="n">
        <f aca="false">SUMPRODUCT((LEFT('IG Giornaliero'!$A$5:$A$278,7)=$A6)*'IG Giornaliero'!F$5:F$278)</f>
        <v>18</v>
      </c>
      <c r="F6" s="13" t="n">
        <f aca="false">SUMPRODUCT((LEFT('IG Giornaliero'!$A$5:$A$278,7)=$A6)*'IG Giornaliero'!H$5:H$278)</f>
        <v>0</v>
      </c>
      <c r="G6" s="13" t="n">
        <f aca="false">SUMPRODUCT((LEFT('IG Giornaliero'!$A$5:$A$278,7)=$A6)*'IG Giornaliero'!I$5:I$278)</f>
        <v>2</v>
      </c>
    </row>
    <row r="7" customFormat="false" ht="15" hidden="false" customHeight="false" outlineLevel="0" collapsed="false">
      <c r="A7" s="4" t="s">
        <v>382</v>
      </c>
      <c r="B7" s="13" t="n">
        <f aca="false">SUMPRODUCT((LEFT('IG Giornaliero'!$A$5:$A$278,7)=$A7)*'IG Giornaliero'!B$5:B$278)</f>
        <v>76</v>
      </c>
      <c r="C7" s="13" t="n">
        <f aca="false">SUMPRODUCT((LEFT('IG Giornaliero'!$A$5:$A$278,7)=$A7)*'IG Giornaliero'!C$5:C$278)</f>
        <v>213</v>
      </c>
      <c r="D7" s="13" t="n">
        <f aca="false">SUMPRODUCT((LEFT('IG Giornaliero'!$A$5:$A$278,7)=$A7)*'IG Giornaliero'!E$5:E$278)</f>
        <v>11</v>
      </c>
      <c r="E7" s="13" t="n">
        <f aca="false">SUMPRODUCT((LEFT('IG Giornaliero'!$A$5:$A$278,7)=$A7)*'IG Giornaliero'!F$5:F$278)</f>
        <v>8</v>
      </c>
      <c r="F7" s="13" t="n">
        <f aca="false">SUMPRODUCT((LEFT('IG Giornaliero'!$A$5:$A$278,7)=$A7)*'IG Giornaliero'!H$5:H$278)</f>
        <v>0</v>
      </c>
      <c r="G7" s="13" t="n">
        <f aca="false">SUMPRODUCT((LEFT('IG Giornaliero'!$A$5:$A$278,7)=$A7)*'IG Giornaliero'!I$5:I$278)</f>
        <v>1</v>
      </c>
    </row>
    <row r="8" customFormat="false" ht="15" hidden="false" customHeight="false" outlineLevel="0" collapsed="false">
      <c r="A8" s="4" t="s">
        <v>383</v>
      </c>
      <c r="B8" s="13" t="n">
        <f aca="false">SUMPRODUCT((LEFT('IG Giornaliero'!$A$5:$A$278,7)=$A8)*'IG Giornaliero'!B$5:B$278)</f>
        <v>65</v>
      </c>
      <c r="C8" s="13" t="n">
        <f aca="false">SUMPRODUCT((LEFT('IG Giornaliero'!$A$5:$A$278,7)=$A8)*'IG Giornaliero'!C$5:C$278)</f>
        <v>204</v>
      </c>
      <c r="D8" s="13" t="n">
        <f aca="false">SUMPRODUCT((LEFT('IG Giornaliero'!$A$5:$A$278,7)=$A8)*'IG Giornaliero'!E$5:E$278)</f>
        <v>16</v>
      </c>
      <c r="E8" s="13" t="n">
        <f aca="false">SUMPRODUCT((LEFT('IG Giornaliero'!$A$5:$A$278,7)=$A8)*'IG Giornaliero'!F$5:F$278)</f>
        <v>14</v>
      </c>
      <c r="F8" s="13" t="n">
        <f aca="false">SUMPRODUCT((LEFT('IG Giornaliero'!$A$5:$A$278,7)=$A8)*'IG Giornaliero'!H$5:H$278)</f>
        <v>0</v>
      </c>
      <c r="G8" s="13" t="n">
        <f aca="false">SUMPRODUCT((LEFT('IG Giornaliero'!$A$5:$A$278,7)=$A8)*'IG Giornaliero'!I$5:I$278)</f>
        <v>1</v>
      </c>
    </row>
    <row r="9" customFormat="false" ht="15" hidden="false" customHeight="false" outlineLevel="0" collapsed="false">
      <c r="A9" s="4" t="s">
        <v>384</v>
      </c>
      <c r="B9" s="13" t="n">
        <f aca="false">SUMPRODUCT((LEFT('IG Giornaliero'!$A$5:$A$278,7)=$A9)*'IG Giornaliero'!B$5:B$278)</f>
        <v>306</v>
      </c>
      <c r="C9" s="13" t="n">
        <f aca="false">SUMPRODUCT((LEFT('IG Giornaliero'!$A$5:$A$278,7)=$A9)*'IG Giornaliero'!C$5:C$278)</f>
        <v>369</v>
      </c>
      <c r="D9" s="13" t="n">
        <f aca="false">SUMPRODUCT((LEFT('IG Giornaliero'!$A$5:$A$278,7)=$A9)*'IG Giornaliero'!E$5:E$278)</f>
        <v>13</v>
      </c>
      <c r="E9" s="13" t="n">
        <f aca="false">SUMPRODUCT((LEFT('IG Giornaliero'!$A$5:$A$278,7)=$A9)*'IG Giornaliero'!F$5:F$278)</f>
        <v>11</v>
      </c>
      <c r="F9" s="13" t="n">
        <f aca="false">SUMPRODUCT((LEFT('IG Giornaliero'!$A$5:$A$278,7)=$A9)*'IG Giornaliero'!H$5:H$278)</f>
        <v>0</v>
      </c>
      <c r="G9" s="13" t="n">
        <f aca="false">SUMPRODUCT((LEFT('IG Giornaliero'!$A$5:$A$278,7)=$A9)*'IG Giornaliero'!I$5:I$278)</f>
        <v>1</v>
      </c>
    </row>
    <row r="10" customFormat="false" ht="15" hidden="false" customHeight="false" outlineLevel="0" collapsed="false">
      <c r="A10" s="4" t="s">
        <v>385</v>
      </c>
      <c r="B10" s="13" t="n">
        <f aca="false">SUMPRODUCT((LEFT('IG Giornaliero'!$A$5:$A$278,7)=$A10)*'IG Giornaliero'!B$5:B$278)</f>
        <v>218</v>
      </c>
      <c r="C10" s="13" t="n">
        <f aca="false">SUMPRODUCT((LEFT('IG Giornaliero'!$A$5:$A$278,7)=$A10)*'IG Giornaliero'!C$5:C$278)</f>
        <v>398</v>
      </c>
      <c r="D10" s="13" t="n">
        <f aca="false">SUMPRODUCT((LEFT('IG Giornaliero'!$A$5:$A$278,7)=$A10)*'IG Giornaliero'!E$5:E$278)</f>
        <v>26</v>
      </c>
      <c r="E10" s="13" t="n">
        <f aca="false">SUMPRODUCT((LEFT('IG Giornaliero'!$A$5:$A$278,7)=$A10)*'IG Giornaliero'!F$5:F$278)</f>
        <v>24</v>
      </c>
      <c r="F10" s="13" t="n">
        <f aca="false">SUMPRODUCT((LEFT('IG Giornaliero'!$A$5:$A$278,7)=$A10)*'IG Giornaliero'!H$5:H$278)</f>
        <v>0</v>
      </c>
      <c r="G10" s="13" t="n">
        <f aca="false">SUMPRODUCT((LEFT('IG Giornaliero'!$A$5:$A$278,7)=$A10)*'IG Giornaliero'!I$5:I$278)</f>
        <v>1</v>
      </c>
    </row>
    <row r="11" customFormat="false" ht="15" hidden="false" customHeight="false" outlineLevel="0" collapsed="false">
      <c r="A11" s="4" t="s">
        <v>386</v>
      </c>
      <c r="B11" s="13" t="n">
        <f aca="false">SUMPRODUCT((LEFT('IG Giornaliero'!$A$5:$A$278,7)=$A11)*'IG Giornaliero'!B$5:B$278)</f>
        <v>316</v>
      </c>
      <c r="C11" s="13" t="n">
        <f aca="false">SUMPRODUCT((LEFT('IG Giornaliero'!$A$5:$A$278,7)=$A11)*'IG Giornaliero'!C$5:C$278)</f>
        <v>737</v>
      </c>
      <c r="D11" s="13" t="n">
        <f aca="false">SUMPRODUCT((LEFT('IG Giornaliero'!$A$5:$A$278,7)=$A11)*'IG Giornaliero'!E$5:E$278)</f>
        <v>42</v>
      </c>
      <c r="E11" s="13" t="n">
        <f aca="false">SUMPRODUCT((LEFT('IG Giornaliero'!$A$5:$A$278,7)=$A11)*'IG Giornaliero'!F$5:F$278)</f>
        <v>30</v>
      </c>
      <c r="F11" s="13" t="n">
        <f aca="false">SUMPRODUCT((LEFT('IG Giornaliero'!$A$5:$A$278,7)=$A11)*'IG Giornaliero'!H$5:H$278)</f>
        <v>0</v>
      </c>
      <c r="G11" s="13" t="n">
        <f aca="false">SUMPRODUCT((LEFT('IG Giornaliero'!$A$5:$A$278,7)=$A11)*'IG Giornaliero'!I$5:I$278)</f>
        <v>6</v>
      </c>
    </row>
    <row r="12" customFormat="false" ht="15" hidden="false" customHeight="false" outlineLevel="0" collapsed="false">
      <c r="A12" s="4" t="s">
        <v>387</v>
      </c>
      <c r="B12" s="13" t="n">
        <f aca="false">SUMPRODUCT((LEFT('IG Giornaliero'!$A$5:$A$278,7)=$A12)*'IG Giornaliero'!B$5:B$278)</f>
        <v>117</v>
      </c>
      <c r="C12" s="13" t="n">
        <f aca="false">SUMPRODUCT((LEFT('IG Giornaliero'!$A$5:$A$278,7)=$A12)*'IG Giornaliero'!C$5:C$278)</f>
        <v>219</v>
      </c>
      <c r="D12" s="13" t="n">
        <f aca="false">SUMPRODUCT((LEFT('IG Giornaliero'!$A$5:$A$278,7)=$A12)*'IG Giornaliero'!E$5:E$278)</f>
        <v>8</v>
      </c>
      <c r="E12" s="13" t="n">
        <f aca="false">SUMPRODUCT((LEFT('IG Giornaliero'!$A$5:$A$278,7)=$A12)*'IG Giornaliero'!F$5:F$278)</f>
        <v>8</v>
      </c>
      <c r="F12" s="13" t="n">
        <f aca="false">SUMPRODUCT((LEFT('IG Giornaliero'!$A$5:$A$278,7)=$A12)*'IG Giornaliero'!H$5:H$278)</f>
        <v>0</v>
      </c>
      <c r="G12" s="13" t="n">
        <f aca="false">SUMPRODUCT((LEFT('IG Giornaliero'!$A$5:$A$278,7)=$A12)*'IG Giornaliero'!I$5:I$278)</f>
        <v>0</v>
      </c>
    </row>
    <row r="13" customFormat="false" ht="15" hidden="false" customHeight="false" outlineLevel="0" collapsed="false">
      <c r="A13" s="4" t="s">
        <v>388</v>
      </c>
      <c r="B13" s="13" t="n">
        <f aca="false">SUMPRODUCT((LEFT('IG Giornaliero'!$A$5:$A$278,7)=$A13)*'IG Giornaliero'!B$5:B$278)</f>
        <v>4549</v>
      </c>
      <c r="C13" s="13" t="n">
        <f aca="false">SUMPRODUCT((LEFT('IG Giornaliero'!$A$5:$A$278,7)=$A13)*'IG Giornaliero'!C$5:C$278)</f>
        <v>5797</v>
      </c>
      <c r="D13" s="13" t="n">
        <f aca="false">SUMPRODUCT((LEFT('IG Giornaliero'!$A$5:$A$278,7)=$A13)*'IG Giornaliero'!E$5:E$278)</f>
        <v>30</v>
      </c>
      <c r="E13" s="13" t="n">
        <f aca="false">SUMPRODUCT((LEFT('IG Giornaliero'!$A$5:$A$278,7)=$A13)*'IG Giornaliero'!F$5:F$278)</f>
        <v>22</v>
      </c>
      <c r="F13" s="13" t="n">
        <f aca="false">SUMPRODUCT((LEFT('IG Giornaliero'!$A$5:$A$278,7)=$A13)*'IG Giornaliero'!H$5:H$278)</f>
        <v>5</v>
      </c>
      <c r="G13" s="13" t="n">
        <f aca="false">SUMPRODUCT((LEFT('IG Giornaliero'!$A$5:$A$278,7)=$A13)*'IG Giornaliero'!I$5:I$278)</f>
        <v>1</v>
      </c>
    </row>
    <row r="14" customFormat="false" ht="15" hidden="false" customHeight="false" outlineLevel="0" collapsed="false">
      <c r="A14" s="4" t="s">
        <v>389</v>
      </c>
      <c r="B14" s="13" t="n">
        <f aca="false">SUMPRODUCT((LEFT('IG Giornaliero'!$A$5:$A$278,7)=$A14)*'IG Giornaliero'!B$5:B$278)</f>
        <v>14</v>
      </c>
      <c r="C14" s="13" t="n">
        <f aca="false">SUMPRODUCT((LEFT('IG Giornaliero'!$A$5:$A$278,7)=$A14)*'IG Giornaliero'!C$5:C$278)</f>
        <v>38</v>
      </c>
      <c r="D14" s="13" t="n">
        <f aca="false">SUMPRODUCT((LEFT('IG Giornaliero'!$A$5:$A$278,7)=$A14)*'IG Giornaliero'!E$5:E$278)</f>
        <v>0</v>
      </c>
      <c r="E14" s="13" t="n">
        <f aca="false">SUMPRODUCT((LEFT('IG Giornaliero'!$A$5:$A$278,7)=$A14)*'IG Giornaliero'!F$5:F$278)</f>
        <v>0</v>
      </c>
      <c r="F14" s="13" t="n">
        <f aca="false">SUMPRODUCT((LEFT('IG Giornaliero'!$A$5:$A$278,7)=$A14)*'IG Giornaliero'!H$5:H$278)</f>
        <v>0</v>
      </c>
      <c r="G14" s="13" t="n">
        <f aca="false">SUMPRODUCT((LEFT('IG Giornaliero'!$A$5:$A$278,7)=$A14)*'IG Giornaliero'!I$5:I$278)</f>
        <v>0</v>
      </c>
    </row>
    <row r="15" customFormat="false" ht="15" hidden="false" customHeight="false" outlineLevel="0" collapsed="false">
      <c r="A15" s="16" t="s">
        <v>47</v>
      </c>
      <c r="B15" s="18" t="n">
        <f aca="false">SUM(B5:B14)</f>
        <v>5802</v>
      </c>
      <c r="C15" s="18" t="n">
        <f aca="false">SUM(C5:C14)</f>
        <v>8323</v>
      </c>
      <c r="D15" s="18" t="n">
        <f aca="false">SUM(D5:D14)</f>
        <v>168</v>
      </c>
      <c r="E15" s="18" t="n">
        <f aca="false">SUM(E5:E14)</f>
        <v>135</v>
      </c>
      <c r="F15" s="18" t="n">
        <f aca="false">SUM(F5:F14)</f>
        <v>5</v>
      </c>
      <c r="G15" s="18" t="n">
        <f aca="false">SUM(G5:G14)</f>
        <v>13</v>
      </c>
    </row>
  </sheetData>
  <autoFilter ref="A4: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0"/>
    <col collapsed="false" customWidth="true" hidden="false" outlineLevel="0" max="10" min="4" style="0" width="14"/>
    <col collapsed="false" customWidth="true" hidden="false" outlineLevel="0" max="11" min="11" style="0" width="40"/>
  </cols>
  <sheetData>
    <row r="1" customFormat="false" ht="17.35" hidden="false" customHeight="false" outlineLevel="0" collapsed="false">
      <c r="A1" s="10" t="s">
        <v>470</v>
      </c>
    </row>
    <row r="4" customFormat="false" ht="31.5" hidden="false" customHeight="true" outlineLevel="0" collapsed="false">
      <c r="A4" s="11" t="s">
        <v>51</v>
      </c>
      <c r="B4" s="11" t="s">
        <v>392</v>
      </c>
      <c r="C4" s="11" t="s">
        <v>393</v>
      </c>
      <c r="D4" s="11" t="s">
        <v>35</v>
      </c>
      <c r="E4" s="11" t="s">
        <v>12</v>
      </c>
      <c r="F4" s="11" t="s">
        <v>464</v>
      </c>
      <c r="G4" s="11" t="s">
        <v>396</v>
      </c>
      <c r="H4" s="11" t="s">
        <v>465</v>
      </c>
      <c r="I4" s="11" t="s">
        <v>397</v>
      </c>
      <c r="J4" s="11" t="s">
        <v>394</v>
      </c>
      <c r="K4" s="11" t="s">
        <v>399</v>
      </c>
    </row>
    <row r="5" customFormat="false" ht="141" hidden="false" customHeight="false" outlineLevel="0" collapsed="false">
      <c r="A5" s="4" t="s">
        <v>246</v>
      </c>
      <c r="B5" s="4" t="s">
        <v>404</v>
      </c>
      <c r="C5" s="25" t="s">
        <v>471</v>
      </c>
      <c r="D5" s="13" t="n">
        <v>26</v>
      </c>
      <c r="E5" s="13" t="n">
        <v>50</v>
      </c>
      <c r="F5" s="13" t="n">
        <v>4</v>
      </c>
      <c r="G5" s="13" t="n">
        <v>0</v>
      </c>
      <c r="H5" s="13" t="n">
        <v>0</v>
      </c>
      <c r="I5" s="13" t="n">
        <v>0</v>
      </c>
      <c r="J5" s="13" t="n">
        <v>4</v>
      </c>
      <c r="K5" s="4" t="s">
        <v>472</v>
      </c>
    </row>
    <row r="6" customFormat="false" ht="153.7" hidden="false" customHeight="false" outlineLevel="0" collapsed="false">
      <c r="A6" s="4" t="s">
        <v>250</v>
      </c>
      <c r="B6" s="4" t="s">
        <v>407</v>
      </c>
      <c r="C6" s="25" t="s">
        <v>408</v>
      </c>
      <c r="D6" s="13" t="n">
        <v>76</v>
      </c>
      <c r="E6" s="13" t="n">
        <v>141</v>
      </c>
      <c r="F6" s="13" t="n">
        <v>4</v>
      </c>
      <c r="G6" s="13" t="n">
        <v>0</v>
      </c>
      <c r="H6" s="13" t="n">
        <v>0</v>
      </c>
      <c r="I6" s="13" t="n">
        <v>1</v>
      </c>
      <c r="J6" s="13" t="n">
        <v>5</v>
      </c>
      <c r="K6" s="4" t="s">
        <v>473</v>
      </c>
    </row>
    <row r="7" customFormat="false" ht="166.4" hidden="false" customHeight="false" outlineLevel="0" collapsed="false">
      <c r="A7" s="4" t="s">
        <v>252</v>
      </c>
      <c r="B7" s="4" t="s">
        <v>404</v>
      </c>
      <c r="C7" s="25" t="s">
        <v>474</v>
      </c>
      <c r="D7" s="13" t="n">
        <v>64</v>
      </c>
      <c r="E7" s="13" t="n">
        <v>111</v>
      </c>
      <c r="F7" s="13" t="n">
        <v>5</v>
      </c>
      <c r="G7" s="13" t="n">
        <v>0</v>
      </c>
      <c r="H7" s="13" t="n">
        <v>0</v>
      </c>
      <c r="I7" s="13" t="n">
        <v>1</v>
      </c>
      <c r="J7" s="13" t="n">
        <v>6</v>
      </c>
      <c r="K7" s="4" t="s">
        <v>475</v>
      </c>
    </row>
    <row r="8" customFormat="false" ht="179.1" hidden="false" customHeight="false" outlineLevel="0" collapsed="false">
      <c r="A8" s="4" t="s">
        <v>254</v>
      </c>
      <c r="B8" s="4" t="s">
        <v>404</v>
      </c>
      <c r="C8" s="25" t="s">
        <v>476</v>
      </c>
      <c r="D8" s="13" t="n">
        <v>24</v>
      </c>
      <c r="E8" s="13" t="n">
        <v>70</v>
      </c>
      <c r="F8" s="13" t="n">
        <v>4</v>
      </c>
      <c r="G8" s="13" t="n">
        <v>0</v>
      </c>
      <c r="H8" s="13" t="n">
        <v>0</v>
      </c>
      <c r="I8" s="13" t="n">
        <v>0</v>
      </c>
      <c r="J8" s="13" t="n">
        <v>4</v>
      </c>
      <c r="K8" s="4" t="s">
        <v>477</v>
      </c>
    </row>
    <row r="9" customFormat="false" ht="255.2" hidden="false" customHeight="false" outlineLevel="0" collapsed="false">
      <c r="A9" s="4" t="s">
        <v>257</v>
      </c>
      <c r="B9" s="4" t="s">
        <v>404</v>
      </c>
      <c r="C9" s="25" t="s">
        <v>478</v>
      </c>
      <c r="D9" s="13" t="n">
        <v>61</v>
      </c>
      <c r="E9" s="13" t="n">
        <v>115</v>
      </c>
      <c r="F9" s="13" t="n">
        <v>4</v>
      </c>
      <c r="G9" s="13" t="n">
        <v>0</v>
      </c>
      <c r="H9" s="13" t="n">
        <v>0</v>
      </c>
      <c r="I9" s="13" t="n">
        <v>1</v>
      </c>
      <c r="J9" s="13" t="n">
        <v>5</v>
      </c>
      <c r="K9" s="4" t="s">
        <v>479</v>
      </c>
    </row>
    <row r="10" customFormat="false" ht="204.45" hidden="false" customHeight="false" outlineLevel="0" collapsed="false">
      <c r="A10" s="4" t="s">
        <v>260</v>
      </c>
      <c r="B10" s="4" t="s">
        <v>407</v>
      </c>
      <c r="C10" s="25" t="s">
        <v>480</v>
      </c>
      <c r="D10" s="13" t="n">
        <v>23</v>
      </c>
      <c r="E10" s="13" t="n">
        <v>49</v>
      </c>
      <c r="F10" s="13" t="n">
        <v>5</v>
      </c>
      <c r="G10" s="13" t="n">
        <v>0</v>
      </c>
      <c r="H10" s="13" t="n">
        <v>0</v>
      </c>
      <c r="I10" s="13" t="n">
        <v>0</v>
      </c>
      <c r="J10" s="13" t="n">
        <v>5</v>
      </c>
      <c r="K10" s="4" t="s">
        <v>481</v>
      </c>
    </row>
    <row r="11" customFormat="false" ht="141" hidden="false" customHeight="false" outlineLevel="0" collapsed="false">
      <c r="A11" s="4" t="s">
        <v>293</v>
      </c>
      <c r="B11" s="4" t="s">
        <v>407</v>
      </c>
      <c r="C11" s="25" t="s">
        <v>418</v>
      </c>
      <c r="D11" s="13" t="n">
        <v>34</v>
      </c>
      <c r="E11" s="13" t="n">
        <v>83</v>
      </c>
      <c r="F11" s="13" t="n">
        <v>4</v>
      </c>
      <c r="G11" s="13" t="n">
        <v>0</v>
      </c>
      <c r="H11" s="13" t="n">
        <v>0</v>
      </c>
      <c r="I11" s="13" t="n">
        <v>0</v>
      </c>
      <c r="J11" s="13" t="n">
        <v>4</v>
      </c>
      <c r="K11" s="4" t="s">
        <v>482</v>
      </c>
    </row>
    <row r="12" customFormat="false" ht="191.75" hidden="false" customHeight="false" outlineLevel="0" collapsed="false">
      <c r="A12" s="4" t="s">
        <v>301</v>
      </c>
      <c r="B12" s="4" t="s">
        <v>404</v>
      </c>
      <c r="C12" s="25" t="s">
        <v>420</v>
      </c>
      <c r="D12" s="13" t="n">
        <v>22</v>
      </c>
      <c r="E12" s="13" t="n">
        <v>47</v>
      </c>
      <c r="F12" s="13" t="n">
        <v>5</v>
      </c>
      <c r="G12" s="13" t="n">
        <v>0</v>
      </c>
      <c r="H12" s="13" t="n">
        <v>0</v>
      </c>
      <c r="I12" s="13" t="n">
        <v>0</v>
      </c>
      <c r="J12" s="13" t="n">
        <v>5</v>
      </c>
      <c r="K12" s="4" t="s">
        <v>483</v>
      </c>
    </row>
    <row r="13" customFormat="false" ht="141" hidden="false" customHeight="false" outlineLevel="0" collapsed="false">
      <c r="A13" s="4" t="s">
        <v>308</v>
      </c>
      <c r="B13" s="4" t="s">
        <v>422</v>
      </c>
      <c r="C13" s="25" t="s">
        <v>423</v>
      </c>
      <c r="D13" s="13" t="n">
        <v>32</v>
      </c>
      <c r="E13" s="13" t="n">
        <v>51</v>
      </c>
      <c r="F13" s="13" t="n">
        <v>4</v>
      </c>
      <c r="G13" s="13" t="n">
        <v>0</v>
      </c>
      <c r="H13" s="13" t="n">
        <v>0</v>
      </c>
      <c r="I13" s="13" t="n">
        <v>1</v>
      </c>
      <c r="J13" s="13" t="n">
        <v>5</v>
      </c>
      <c r="K13" s="4" t="s">
        <v>484</v>
      </c>
    </row>
    <row r="14" customFormat="false" ht="153.7" hidden="false" customHeight="false" outlineLevel="0" collapsed="false">
      <c r="A14" s="4" t="s">
        <v>329</v>
      </c>
      <c r="B14" s="4" t="s">
        <v>404</v>
      </c>
      <c r="C14" s="25" t="s">
        <v>425</v>
      </c>
      <c r="D14" s="13" t="n">
        <v>22</v>
      </c>
      <c r="E14" s="13" t="n">
        <v>51</v>
      </c>
      <c r="F14" s="13" t="n">
        <v>4</v>
      </c>
      <c r="G14" s="13" t="n">
        <v>0</v>
      </c>
      <c r="H14" s="13" t="n">
        <v>0</v>
      </c>
      <c r="I14" s="13" t="n">
        <v>0</v>
      </c>
      <c r="J14" s="13" t="n">
        <v>4</v>
      </c>
      <c r="K14" s="4" t="s">
        <v>485</v>
      </c>
    </row>
    <row r="15" customFormat="false" ht="229.85" hidden="false" customHeight="false" outlineLevel="0" collapsed="false">
      <c r="A15" s="4" t="s">
        <v>343</v>
      </c>
      <c r="B15" s="4" t="s">
        <v>422</v>
      </c>
      <c r="C15" s="25" t="s">
        <v>427</v>
      </c>
      <c r="D15" s="13" t="n">
        <v>248</v>
      </c>
      <c r="E15" s="13" t="n">
        <v>302</v>
      </c>
      <c r="F15" s="13" t="n">
        <v>7</v>
      </c>
      <c r="G15" s="13" t="n">
        <v>0</v>
      </c>
      <c r="H15" s="13" t="n">
        <v>0</v>
      </c>
      <c r="I15" s="13" t="n">
        <v>3</v>
      </c>
      <c r="J15" s="13" t="n">
        <v>10</v>
      </c>
      <c r="K15" s="4" t="s">
        <v>486</v>
      </c>
    </row>
    <row r="16" customFormat="false" ht="217.15" hidden="false" customHeight="false" outlineLevel="0" collapsed="false">
      <c r="A16" s="4" t="s">
        <v>112</v>
      </c>
      <c r="B16" s="4" t="s">
        <v>404</v>
      </c>
      <c r="C16" s="25" t="s">
        <v>429</v>
      </c>
      <c r="D16" s="13" t="n">
        <v>31</v>
      </c>
      <c r="E16" s="13" t="n">
        <v>107</v>
      </c>
      <c r="F16" s="13" t="n">
        <v>3</v>
      </c>
      <c r="G16" s="13" t="n">
        <v>0</v>
      </c>
      <c r="H16" s="13" t="n">
        <v>0</v>
      </c>
      <c r="I16" s="13" t="n">
        <v>0</v>
      </c>
      <c r="J16" s="13" t="n">
        <v>3</v>
      </c>
      <c r="K16" s="4" t="s">
        <v>487</v>
      </c>
    </row>
    <row r="17" customFormat="false" ht="204.45" hidden="false" customHeight="false" outlineLevel="0" collapsed="false">
      <c r="A17" s="4" t="s">
        <v>118</v>
      </c>
      <c r="B17" s="4" t="s">
        <v>404</v>
      </c>
      <c r="C17" s="25" t="s">
        <v>431</v>
      </c>
      <c r="D17" s="13" t="n">
        <v>24</v>
      </c>
      <c r="E17" s="13" t="n">
        <v>56</v>
      </c>
      <c r="F17" s="13" t="n">
        <v>4</v>
      </c>
      <c r="G17" s="13" t="n">
        <v>0</v>
      </c>
      <c r="H17" s="13" t="n">
        <v>0</v>
      </c>
      <c r="I17" s="13" t="n">
        <v>0</v>
      </c>
      <c r="J17" s="13" t="n">
        <v>4</v>
      </c>
      <c r="K17" s="4" t="s">
        <v>488</v>
      </c>
    </row>
    <row r="18" customFormat="false" ht="141" hidden="false" customHeight="false" outlineLevel="0" collapsed="false">
      <c r="A18" s="4" t="s">
        <v>126</v>
      </c>
      <c r="B18" s="4" t="s">
        <v>422</v>
      </c>
      <c r="C18" s="25" t="s">
        <v>433</v>
      </c>
      <c r="D18" s="13" t="n">
        <v>199</v>
      </c>
      <c r="E18" s="13" t="n">
        <v>293</v>
      </c>
      <c r="F18" s="13" t="n">
        <v>13</v>
      </c>
      <c r="G18" s="13" t="n">
        <v>0</v>
      </c>
      <c r="H18" s="13" t="n">
        <v>0</v>
      </c>
      <c r="I18" s="13" t="n">
        <v>2</v>
      </c>
      <c r="J18" s="13" t="n">
        <v>15</v>
      </c>
      <c r="K18" s="4" t="s">
        <v>489</v>
      </c>
    </row>
    <row r="19" customFormat="false" ht="204.45" hidden="false" customHeight="false" outlineLevel="0" collapsed="false">
      <c r="A19" s="4" t="s">
        <v>346</v>
      </c>
      <c r="B19" s="4" t="s">
        <v>404</v>
      </c>
      <c r="C19" s="25" t="s">
        <v>435</v>
      </c>
      <c r="D19" s="13" t="n">
        <v>33</v>
      </c>
      <c r="E19" s="13" t="n">
        <v>68</v>
      </c>
      <c r="F19" s="13" t="n">
        <v>4</v>
      </c>
      <c r="G19" s="13" t="n">
        <v>0</v>
      </c>
      <c r="H19" s="13" t="n">
        <v>0</v>
      </c>
      <c r="I19" s="13" t="n">
        <v>0</v>
      </c>
      <c r="J19" s="13" t="n">
        <v>4</v>
      </c>
      <c r="K19" s="4" t="s">
        <v>490</v>
      </c>
    </row>
    <row r="20" customFormat="false" ht="191.75" hidden="false" customHeight="false" outlineLevel="0" collapsed="false">
      <c r="A20" s="4" t="s">
        <v>139</v>
      </c>
      <c r="B20" s="4" t="s">
        <v>404</v>
      </c>
      <c r="C20" s="25" t="s">
        <v>437</v>
      </c>
      <c r="D20" s="13" t="n">
        <v>30</v>
      </c>
      <c r="E20" s="13" t="n">
        <v>55</v>
      </c>
      <c r="F20" s="13" t="n">
        <v>3</v>
      </c>
      <c r="G20" s="13" t="n">
        <v>0</v>
      </c>
      <c r="H20" s="13" t="n">
        <v>0</v>
      </c>
      <c r="I20" s="13" t="n">
        <v>0</v>
      </c>
      <c r="J20" s="13" t="n">
        <v>3</v>
      </c>
      <c r="K20" s="4" t="s">
        <v>491</v>
      </c>
    </row>
    <row r="21" customFormat="false" ht="102.95" hidden="false" customHeight="false" outlineLevel="0" collapsed="false">
      <c r="A21" s="4" t="s">
        <v>146</v>
      </c>
      <c r="B21" s="4" t="s">
        <v>422</v>
      </c>
      <c r="C21" s="25" t="s">
        <v>439</v>
      </c>
      <c r="D21" s="13" t="n">
        <v>203</v>
      </c>
      <c r="E21" s="13" t="n">
        <v>268</v>
      </c>
      <c r="F21" s="13" t="n">
        <v>9</v>
      </c>
      <c r="G21" s="13" t="n">
        <v>0</v>
      </c>
      <c r="H21" s="13" t="n">
        <v>0</v>
      </c>
      <c r="I21" s="13" t="n">
        <v>3</v>
      </c>
      <c r="J21" s="13" t="n">
        <v>12</v>
      </c>
      <c r="K21" s="4" t="s">
        <v>492</v>
      </c>
    </row>
    <row r="22" customFormat="false" ht="204.45" hidden="false" customHeight="false" outlineLevel="0" collapsed="false">
      <c r="A22" s="4" t="s">
        <v>153</v>
      </c>
      <c r="B22" s="4" t="s">
        <v>404</v>
      </c>
      <c r="C22" s="25" t="s">
        <v>441</v>
      </c>
      <c r="D22" s="13" t="n">
        <v>35</v>
      </c>
      <c r="E22" s="13" t="n">
        <v>107</v>
      </c>
      <c r="F22" s="13" t="n">
        <v>4</v>
      </c>
      <c r="G22" s="13" t="n">
        <v>0</v>
      </c>
      <c r="H22" s="13" t="n">
        <v>1</v>
      </c>
      <c r="I22" s="13" t="n">
        <v>0</v>
      </c>
      <c r="J22" s="13" t="n">
        <v>5</v>
      </c>
      <c r="K22" s="4" t="s">
        <v>493</v>
      </c>
    </row>
    <row r="23" customFormat="false" ht="191.75" hidden="false" customHeight="false" outlineLevel="0" collapsed="false">
      <c r="A23" s="4" t="s">
        <v>355</v>
      </c>
      <c r="B23" s="4" t="s">
        <v>404</v>
      </c>
      <c r="C23" s="25" t="s">
        <v>443</v>
      </c>
      <c r="D23" s="13" t="n">
        <v>29</v>
      </c>
      <c r="E23" s="13" t="n">
        <v>63</v>
      </c>
      <c r="F23" s="13" t="n">
        <v>4</v>
      </c>
      <c r="G23" s="13" t="n">
        <v>0</v>
      </c>
      <c r="H23" s="13" t="n">
        <v>0</v>
      </c>
      <c r="I23" s="13" t="n">
        <v>0</v>
      </c>
      <c r="J23" s="13" t="n">
        <v>4</v>
      </c>
      <c r="K23" s="4" t="s">
        <v>494</v>
      </c>
    </row>
    <row r="24" customFormat="false" ht="153.7" hidden="false" customHeight="false" outlineLevel="0" collapsed="false">
      <c r="A24" s="4" t="s">
        <v>362</v>
      </c>
      <c r="B24" s="4" t="s">
        <v>404</v>
      </c>
      <c r="C24" s="25" t="s">
        <v>445</v>
      </c>
      <c r="D24" s="13" t="n">
        <v>26</v>
      </c>
      <c r="E24" s="13" t="n">
        <v>52</v>
      </c>
      <c r="F24" s="13" t="n">
        <v>0</v>
      </c>
      <c r="G24" s="13" t="n">
        <v>0</v>
      </c>
      <c r="H24" s="13" t="n">
        <v>0</v>
      </c>
      <c r="I24" s="13" t="n">
        <v>0</v>
      </c>
      <c r="J24" s="13" t="n">
        <v>0</v>
      </c>
      <c r="K24" s="4" t="s">
        <v>495</v>
      </c>
    </row>
    <row r="25" customFormat="false" ht="166.4" hidden="false" customHeight="false" outlineLevel="0" collapsed="false">
      <c r="A25" s="4" t="s">
        <v>369</v>
      </c>
      <c r="B25" s="4" t="s">
        <v>404</v>
      </c>
      <c r="C25" s="25" t="s">
        <v>447</v>
      </c>
      <c r="D25" s="13" t="n">
        <v>32</v>
      </c>
      <c r="E25" s="13" t="n">
        <v>87</v>
      </c>
      <c r="F25" s="13" t="n">
        <v>1</v>
      </c>
      <c r="G25" s="13" t="n">
        <v>0</v>
      </c>
      <c r="H25" s="13" t="n">
        <v>1</v>
      </c>
      <c r="I25" s="13" t="n">
        <v>0</v>
      </c>
      <c r="J25" s="13" t="n">
        <v>2</v>
      </c>
      <c r="K25" s="4" t="s">
        <v>496</v>
      </c>
    </row>
    <row r="26" customFormat="false" ht="141" hidden="false" customHeight="false" outlineLevel="0" collapsed="false">
      <c r="A26" s="4" t="s">
        <v>376</v>
      </c>
      <c r="B26" s="4" t="s">
        <v>404</v>
      </c>
      <c r="C26" s="25" t="s">
        <v>449</v>
      </c>
      <c r="D26" s="13" t="n">
        <v>29</v>
      </c>
      <c r="E26" s="13" t="n">
        <v>54</v>
      </c>
      <c r="F26" s="13" t="n">
        <v>3</v>
      </c>
      <c r="G26" s="13" t="n">
        <v>0</v>
      </c>
      <c r="H26" s="13" t="n">
        <v>0</v>
      </c>
      <c r="I26" s="13" t="n">
        <v>0</v>
      </c>
      <c r="J26" s="13" t="n">
        <v>3</v>
      </c>
      <c r="K26" s="4" t="s">
        <v>497</v>
      </c>
    </row>
    <row r="27" customFormat="false" ht="90.25" hidden="false" customHeight="false" outlineLevel="0" collapsed="false">
      <c r="A27" s="4" t="s">
        <v>161</v>
      </c>
      <c r="B27" s="4" t="s">
        <v>422</v>
      </c>
      <c r="C27" s="25" t="s">
        <v>451</v>
      </c>
      <c r="D27" s="13" t="n">
        <v>146</v>
      </c>
      <c r="E27" s="13" t="n">
        <v>187</v>
      </c>
      <c r="F27" s="13" t="n">
        <v>7</v>
      </c>
      <c r="G27" s="13" t="n">
        <v>0</v>
      </c>
      <c r="H27" s="13" t="n">
        <v>1</v>
      </c>
      <c r="I27" s="13" t="n">
        <v>0</v>
      </c>
      <c r="J27" s="13" t="n">
        <v>9</v>
      </c>
      <c r="K27" s="4" t="s">
        <v>498</v>
      </c>
    </row>
    <row r="28" customFormat="false" ht="153.7" hidden="false" customHeight="false" outlineLevel="0" collapsed="false">
      <c r="A28" s="4" t="s">
        <v>170</v>
      </c>
      <c r="B28" s="4" t="s">
        <v>404</v>
      </c>
      <c r="C28" s="25" t="s">
        <v>453</v>
      </c>
      <c r="D28" s="13" t="n">
        <v>20</v>
      </c>
      <c r="E28" s="13" t="n">
        <v>44</v>
      </c>
      <c r="F28" s="13" t="n">
        <v>1</v>
      </c>
      <c r="G28" s="13" t="n">
        <v>0</v>
      </c>
      <c r="H28" s="13" t="n">
        <v>1</v>
      </c>
      <c r="I28" s="13" t="n">
        <v>0</v>
      </c>
      <c r="J28" s="13" t="n">
        <v>3</v>
      </c>
      <c r="K28" s="4" t="s">
        <v>499</v>
      </c>
    </row>
    <row r="29" customFormat="false" ht="153.7" hidden="false" customHeight="false" outlineLevel="0" collapsed="false">
      <c r="A29" s="4" t="s">
        <v>176</v>
      </c>
      <c r="B29" s="4" t="s">
        <v>404</v>
      </c>
      <c r="C29" s="25" t="s">
        <v>455</v>
      </c>
      <c r="D29" s="13" t="n">
        <v>20</v>
      </c>
      <c r="E29" s="13" t="n">
        <v>47</v>
      </c>
      <c r="F29" s="13" t="n">
        <v>3</v>
      </c>
      <c r="G29" s="13" t="n">
        <v>0</v>
      </c>
      <c r="H29" s="13" t="n">
        <v>0</v>
      </c>
      <c r="I29" s="13" t="n">
        <v>0</v>
      </c>
      <c r="J29" s="13" t="n">
        <v>4</v>
      </c>
      <c r="K29" s="4" t="s">
        <v>500</v>
      </c>
    </row>
    <row r="30" customFormat="false" ht="128.35" hidden="false" customHeight="false" outlineLevel="0" collapsed="false">
      <c r="A30" s="4" t="s">
        <v>182</v>
      </c>
      <c r="B30" s="4" t="s">
        <v>404</v>
      </c>
      <c r="C30" s="25" t="s">
        <v>457</v>
      </c>
      <c r="D30" s="13" t="n">
        <v>30</v>
      </c>
      <c r="E30" s="13" t="n">
        <v>149</v>
      </c>
      <c r="F30" s="13" t="n">
        <v>2</v>
      </c>
      <c r="G30" s="13" t="n">
        <v>0</v>
      </c>
      <c r="H30" s="13" t="n">
        <v>0</v>
      </c>
      <c r="I30" s="13" t="n">
        <v>1</v>
      </c>
      <c r="J30" s="13" t="n">
        <v>4</v>
      </c>
      <c r="K30" s="4" t="s">
        <v>501</v>
      </c>
    </row>
    <row r="31" customFormat="false" ht="166.4" hidden="false" customHeight="false" outlineLevel="0" collapsed="false">
      <c r="A31" s="4" t="s">
        <v>189</v>
      </c>
      <c r="B31" s="4" t="s">
        <v>404</v>
      </c>
      <c r="C31" s="25" t="s">
        <v>459</v>
      </c>
      <c r="D31" s="13" t="n">
        <v>26</v>
      </c>
      <c r="E31" s="13" t="n">
        <v>81</v>
      </c>
      <c r="F31" s="13" t="n">
        <v>3</v>
      </c>
      <c r="G31" s="13" t="n">
        <v>0</v>
      </c>
      <c r="H31" s="13" t="n">
        <v>0</v>
      </c>
      <c r="I31" s="13" t="n">
        <v>0</v>
      </c>
      <c r="J31" s="13" t="n">
        <v>4</v>
      </c>
      <c r="K31" s="4" t="s">
        <v>502</v>
      </c>
    </row>
    <row r="34" customFormat="false" ht="15" hidden="false" customHeight="false" outlineLevel="0" collapsed="false">
      <c r="A34" s="16" t="s">
        <v>503</v>
      </c>
    </row>
    <row r="35" customFormat="false" ht="15" hidden="false" customHeight="false" outlineLevel="0" collapsed="false">
      <c r="A35" s="21" t="s">
        <v>392</v>
      </c>
      <c r="B35" s="21" t="s">
        <v>504</v>
      </c>
      <c r="C35" s="21" t="s">
        <v>505</v>
      </c>
      <c r="D35" s="21" t="s">
        <v>506</v>
      </c>
      <c r="E35" s="21" t="s">
        <v>507</v>
      </c>
    </row>
    <row r="36" customFormat="false" ht="15" hidden="false" customHeight="false" outlineLevel="0" collapsed="false">
      <c r="A36" s="9" t="s">
        <v>422</v>
      </c>
      <c r="B36" s="9" t="n">
        <f aca="false">COUNTIF($B$5:$B$31,A36)</f>
        <v>5</v>
      </c>
      <c r="C36" s="23" t="n">
        <f aca="false">IFERROR(AVERAGEIF($B$5:$B$31,A36,$D$5:$D$31),0)</f>
        <v>165.6</v>
      </c>
      <c r="D36" s="23" t="n">
        <f aca="false">IFERROR(AVERAGEIF($B$5:$B$31,A36,$E$5:$E$31),0)</f>
        <v>220.2</v>
      </c>
      <c r="E36" s="26" t="n">
        <f aca="false">IFERROR(AVERAGEIF($B$5:$B$31,A36,$J$5:$J$31),0)</f>
        <v>10.2</v>
      </c>
    </row>
    <row r="37" customFormat="false" ht="15" hidden="false" customHeight="false" outlineLevel="0" collapsed="false">
      <c r="A37" s="9" t="s">
        <v>407</v>
      </c>
      <c r="B37" s="9" t="n">
        <f aca="false">COUNTIF($B$5:$B$31,A37)</f>
        <v>3</v>
      </c>
      <c r="C37" s="23" t="n">
        <f aca="false">IFERROR(AVERAGEIF($B$5:$B$31,A37,$D$5:$D$31),0)</f>
        <v>44.3333333333333</v>
      </c>
      <c r="D37" s="23" t="n">
        <f aca="false">IFERROR(AVERAGEIF($B$5:$B$31,A37,$E$5:$E$31),0)</f>
        <v>91</v>
      </c>
      <c r="E37" s="26" t="n">
        <f aca="false">IFERROR(AVERAGEIF($B$5:$B$31,A37,$J$5:$J$31),0)</f>
        <v>4.66666666666667</v>
      </c>
    </row>
    <row r="38" customFormat="false" ht="15" hidden="false" customHeight="false" outlineLevel="0" collapsed="false">
      <c r="A38" s="9" t="s">
        <v>404</v>
      </c>
      <c r="B38" s="9" t="n">
        <f aca="false">COUNTIF($B$5:$B$31,A38)</f>
        <v>19</v>
      </c>
      <c r="C38" s="23" t="n">
        <f aca="false">IFERROR(AVERAGEIF($B$5:$B$31,A38,$D$5:$D$31),0)</f>
        <v>30.7368421052632</v>
      </c>
      <c r="D38" s="23" t="n">
        <f aca="false">IFERROR(AVERAGEIF($B$5:$B$31,A38,$E$5:$E$31),0)</f>
        <v>74.421052631579</v>
      </c>
      <c r="E38" s="26" t="n">
        <f aca="false">IFERROR(AVERAGEIF($B$5:$B$31,A38,$J$5:$J$31),0)</f>
        <v>3.73684210526316</v>
      </c>
    </row>
  </sheetData>
  <autoFilter ref="A4:K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2026-10-16T14:35:26Z</dcterms:created>
  <dc:creator>openpyxl</dc:creator>
  <dc:description/>
  <dc:language>en-US</dc:language>
  <cp:lastModifiedBy/>
  <dcterms:modified xsi:type="dcterms:W3CDTF">2026-10-16T14:35:26Z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